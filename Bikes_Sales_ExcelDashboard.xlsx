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DATA\"/>
    </mc:Choice>
  </mc:AlternateContent>
  <bookViews>
    <workbookView xWindow="-108" yWindow="-108" windowWidth="23256" windowHeight="12456" activeTab="3"/>
  </bookViews>
  <sheets>
    <sheet name="bike_buyers" sheetId="1" r:id="rId1"/>
    <sheet name="workingsheet" sheetId="3" r:id="rId2"/>
    <sheet name="Pivot table" sheetId="4" r:id="rId3"/>
    <sheet name="dashboard" sheetId="2" r:id="rId4"/>
  </sheets>
  <definedNames>
    <definedName name="_xlnm._FilterDatabase" localSheetId="0" hidden="1">bike_buyers!$A$1:$M$1001</definedName>
    <definedName name="_xlnm._FilterDatabase" localSheetId="1" hidden="1">workingsheet!$A$1:$N$1001</definedName>
    <definedName name="Slicer_Education">#N/A</definedName>
    <definedName name="Slicer_Marital_Status">#N/A</definedName>
    <definedName name="Slicer_Region">#N/A</definedName>
  </definedNames>
  <calcPr calcId="152511"/>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<sst xmlns="http://schemas.openxmlformats.org/spreadsheetml/2006/main" count="16267" uniqueCount="51">
  <si>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</si>
  <si>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</si>
  <si>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</si>
  <si>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</si>
  <si>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</si>
  <si>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</si>
  <si>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</si>
  <si>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</si>
  <si>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</si>
  <si>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</si>
  <si>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</si>
  <si>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</si>
  <si>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</si>
  <si>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</si>
  <si>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</si>
  <si>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</si>
  <si>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</si>
  <si>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</si>
  <si>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</si>
  <si>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</si>
  <si>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</si>
  <si>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</si>
  <si>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</si>
  <si>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</si>
  <si>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</si>
  <si>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</si>
  <si>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</si>
  <si>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</si>
  <si>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</si>
  <si>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</si>
  <si>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</si>
  <si>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</si>
  <si>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</si>
  <si>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</si>
  <si>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</si>
  <si>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</si>
  <si>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</si>
  <si>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Married</t>
  </si>
  <si>
    <t>Single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</si>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</sst>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8"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
      <numFmt numFmtId="168"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manualLayout>
          <c:xMode val="edge"/>
          <c:yMode val="edge"/>
          <c:x val="0.39282633420822405"/>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_ * #,##0_ ;_ * \-#,##0_ ;_ * "-"??_ ;_ @_ </c:formatCode>
                <c:ptCount val="2"/>
                <c:pt idx="0">
                  <c:v>53440</c:v>
                </c:pt>
                <c:pt idx="1">
                  <c:v>56208.178438661707</c:v>
                </c:pt>
              </c:numCache>
            </c:numRef>
          </c:val>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_ * #,##0_ ;_ * \-#,##0_ ;_ * "-"??_ ;_ @_ </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467589088"/>
        <c:axId val="467587912"/>
      </c:barChart>
      <c:catAx>
        <c:axId val="467589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87912"/>
        <c:crosses val="autoZero"/>
        <c:auto val="1"/>
        <c:lblAlgn val="ctr"/>
        <c:lblOffset val="100"/>
        <c:noMultiLvlLbl val="0"/>
      </c:catAx>
      <c:valAx>
        <c:axId val="467587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890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3789374453193351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28575" cap="rnd">
              <a:solidFill>
                <a:schemeClr val="accent1"/>
              </a:solidFill>
              <a:round/>
            </a:ln>
            <a:effectLst/>
          </c:spPr>
          <c:marker>
            <c:symbol val="none"/>
          </c:marker>
          <c:cat>
            <c:strRef>
              <c:f>'Pivot table'!$B$20:$B$25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166</c:v>
                </c:pt>
                <c:pt idx="1">
                  <c:v>92</c:v>
                </c:pt>
                <c:pt idx="2">
                  <c:v>67</c:v>
                </c:pt>
                <c:pt idx="3">
                  <c:v>116</c:v>
                </c:pt>
                <c:pt idx="4">
                  <c:v>78</c:v>
                </c:pt>
              </c:numCache>
            </c:numRef>
          </c:val>
          <c:smooth val="0"/>
        </c:ser>
        <c:ser>
          <c:idx val="1"/>
          <c:order val="1"/>
          <c:tx>
            <c:strRef>
              <c:f>'Pivot table'!$D$18:$D$19</c:f>
              <c:strCache>
                <c:ptCount val="1"/>
                <c:pt idx="0">
                  <c:v>Yes</c:v>
                </c:pt>
              </c:strCache>
            </c:strRef>
          </c:tx>
          <c:spPr>
            <a:ln w="28575" cap="rnd">
              <a:solidFill>
                <a:schemeClr val="accent2"/>
              </a:solidFill>
              <a:round/>
            </a:ln>
            <a:effectLst/>
          </c:spPr>
          <c:marker>
            <c:symbol val="none"/>
          </c:marker>
          <c:cat>
            <c:strRef>
              <c:f>'Pivot table'!$B$20:$B$25</c:f>
              <c:strCache>
                <c:ptCount val="5"/>
                <c:pt idx="0">
                  <c:v>0-1 Miles</c:v>
                </c:pt>
                <c:pt idx="1">
                  <c:v>1-2 Miles</c:v>
                </c:pt>
                <c:pt idx="2">
                  <c:v>2-5 Miles</c:v>
                </c:pt>
                <c:pt idx="3">
                  <c:v>5-10 Miles</c:v>
                </c:pt>
                <c:pt idx="4">
                  <c:v>More than 10 Miles</c:v>
                </c:pt>
              </c:strCache>
            </c:strRef>
          </c:cat>
          <c:val>
            <c:numRef>
              <c:f>'Pivot table'!$D$20:$D$25</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509591552"/>
        <c:axId val="509591944"/>
      </c:lineChart>
      <c:catAx>
        <c:axId val="509591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91944"/>
        <c:crosses val="autoZero"/>
        <c:auto val="1"/>
        <c:lblAlgn val="ctr"/>
        <c:lblOffset val="100"/>
        <c:noMultiLvlLbl val="0"/>
      </c:catAx>
      <c:valAx>
        <c:axId val="509591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915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table'!$C$31:$C$32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table'!$B$33:$B$36</c:f>
              <c:strCache>
                <c:ptCount val="3"/>
                <c:pt idx="0">
                  <c:v>Adolescent</c:v>
                </c:pt>
                <c:pt idx="1">
                  <c:v>Middle Age</c:v>
                </c:pt>
                <c:pt idx="2">
                  <c:v>Old</c:v>
                </c:pt>
              </c:strCache>
            </c:strRef>
          </c:cat>
          <c:val>
            <c:numRef>
              <c:f>'Pivot table'!$C$33:$C$36</c:f>
              <c:numCache>
                <c:formatCode>General</c:formatCode>
                <c:ptCount val="3"/>
                <c:pt idx="0">
                  <c:v>71</c:v>
                </c:pt>
                <c:pt idx="1">
                  <c:v>331</c:v>
                </c:pt>
                <c:pt idx="2">
                  <c:v>117</c:v>
                </c:pt>
              </c:numCache>
            </c:numRef>
          </c:val>
          <c:smooth val="0"/>
        </c:ser>
        <c:ser>
          <c:idx val="1"/>
          <c:order val="1"/>
          <c:tx>
            <c:strRef>
              <c:f>'Pivot table'!$D$31:$D$32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table'!$B$33:$B$36</c:f>
              <c:strCache>
                <c:ptCount val="3"/>
                <c:pt idx="0">
                  <c:v>Adolescent</c:v>
                </c:pt>
                <c:pt idx="1">
                  <c:v>Middle Age</c:v>
                </c:pt>
                <c:pt idx="2">
                  <c:v>Old</c:v>
                </c:pt>
              </c:strCache>
            </c:strRef>
          </c:cat>
          <c:val>
            <c:numRef>
              <c:f>'Pivot table'!$D$33:$D$36</c:f>
              <c:numCache>
                <c:formatCode>General</c:formatCode>
                <c:ptCount val="3"/>
                <c:pt idx="0">
                  <c:v>39</c:v>
                </c:pt>
                <c:pt idx="1">
                  <c:v>388</c:v>
                </c:pt>
                <c:pt idx="2">
                  <c:v>54</c:v>
                </c:pt>
              </c:numCache>
            </c:numRef>
          </c:val>
          <c:smooth val="0"/>
        </c:ser>
        <c:dLbls>
          <c:showLegendKey val="0"/>
          <c:showVal val="0"/>
          <c:showCatName val="0"/>
          <c:showSerName val="0"/>
          <c:showPercent val="0"/>
          <c:showBubbleSize val="0"/>
        </c:dLbls>
        <c:marker val="1"/>
        <c:smooth val="0"/>
        <c:axId val="510805848"/>
        <c:axId val="510804280"/>
      </c:lineChart>
      <c:catAx>
        <c:axId val="510805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04280"/>
        <c:crosses val="autoZero"/>
        <c:auto val="1"/>
        <c:lblAlgn val="ctr"/>
        <c:lblOffset val="100"/>
        <c:noMultiLvlLbl val="0"/>
      </c:catAx>
      <c:valAx>
        <c:axId val="510804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058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manualLayout>
          <c:xMode val="edge"/>
          <c:yMode val="edge"/>
          <c:x val="0.39282633420822405"/>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21679737637585722"/>
          <c:y val="0.21960185061613058"/>
          <c:w val="0.54534500552700382"/>
          <c:h val="0.39313225677298808"/>
        </c:manualLayout>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_ * #,##0_ ;_ * \-#,##0_ ;_ * "-"??_ ;_ @_ </c:formatCode>
                <c:ptCount val="2"/>
                <c:pt idx="0">
                  <c:v>53440</c:v>
                </c:pt>
                <c:pt idx="1">
                  <c:v>56208.178438661707</c:v>
                </c:pt>
              </c:numCache>
            </c:numRef>
          </c:val>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_ * #,##0_ ;_ * \-#,##0_ ;_ * "-"??_ ;_ @_ </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469549088"/>
        <c:axId val="469550656"/>
      </c:barChart>
      <c:catAx>
        <c:axId val="469549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550656"/>
        <c:crosses val="autoZero"/>
        <c:auto val="1"/>
        <c:lblAlgn val="ctr"/>
        <c:lblOffset val="100"/>
        <c:noMultiLvlLbl val="0"/>
      </c:catAx>
      <c:valAx>
        <c:axId val="469550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5490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manualLayout>
          <c:xMode val="edge"/>
          <c:yMode val="edge"/>
          <c:x val="0.37893744531933515"/>
          <c:y val="0.1147200349956255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manualLayout>
          <c:layoutTarget val="inner"/>
          <c:xMode val="edge"/>
          <c:yMode val="edge"/>
          <c:x val="4.5719765798505958E-2"/>
          <c:y val="0.22970995813023373"/>
          <c:w val="0.84610715727841701"/>
          <c:h val="0.55725534308211477"/>
        </c:manualLayout>
      </c:layout>
      <c:lineChart>
        <c:grouping val="standard"/>
        <c:varyColors val="0"/>
        <c:ser>
          <c:idx val="0"/>
          <c:order val="0"/>
          <c:tx>
            <c:strRef>
              <c:f>'Pivot table'!$C$18:$C$19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table'!$B$20:$B$25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166</c:v>
                </c:pt>
                <c:pt idx="1">
                  <c:v>92</c:v>
                </c:pt>
                <c:pt idx="2">
                  <c:v>67</c:v>
                </c:pt>
                <c:pt idx="3">
                  <c:v>116</c:v>
                </c:pt>
                <c:pt idx="4">
                  <c:v>78</c:v>
                </c:pt>
              </c:numCache>
            </c:numRef>
          </c:val>
          <c:smooth val="0"/>
        </c:ser>
        <c:ser>
          <c:idx val="1"/>
          <c:order val="1"/>
          <c:tx>
            <c:strRef>
              <c:f>'Pivot table'!$D$18:$D$19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table'!$B$20:$B$25</c:f>
              <c:strCache>
                <c:ptCount val="5"/>
                <c:pt idx="0">
                  <c:v>0-1 Miles</c:v>
                </c:pt>
                <c:pt idx="1">
                  <c:v>1-2 Miles</c:v>
                </c:pt>
                <c:pt idx="2">
                  <c:v>2-5 Miles</c:v>
                </c:pt>
                <c:pt idx="3">
                  <c:v>5-10 Miles</c:v>
                </c:pt>
                <c:pt idx="4">
                  <c:v>More than 10 Miles</c:v>
                </c:pt>
              </c:strCache>
            </c:strRef>
          </c:cat>
          <c:val>
            <c:numRef>
              <c:f>'Pivot table'!$D$20:$D$25</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510802712"/>
        <c:axId val="510803104"/>
      </c:lineChart>
      <c:catAx>
        <c:axId val="5108027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a:p>
                <a:pPr>
                  <a:defRPr/>
                </a:pPr>
                <a:endParaRPr lang="en-US"/>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0803104"/>
        <c:crosses val="autoZero"/>
        <c:auto val="1"/>
        <c:lblAlgn val="ctr"/>
        <c:lblOffset val="100"/>
        <c:noMultiLvlLbl val="0"/>
      </c:catAx>
      <c:valAx>
        <c:axId val="5108031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0802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table'!$C$31:$C$32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table'!$B$33:$B$36</c:f>
              <c:strCache>
                <c:ptCount val="3"/>
                <c:pt idx="0">
                  <c:v>Adolescent</c:v>
                </c:pt>
                <c:pt idx="1">
                  <c:v>Middle Age</c:v>
                </c:pt>
                <c:pt idx="2">
                  <c:v>Old</c:v>
                </c:pt>
              </c:strCache>
            </c:strRef>
          </c:cat>
          <c:val>
            <c:numRef>
              <c:f>'Pivot table'!$C$33:$C$36</c:f>
              <c:numCache>
                <c:formatCode>General</c:formatCode>
                <c:ptCount val="3"/>
                <c:pt idx="0">
                  <c:v>71</c:v>
                </c:pt>
                <c:pt idx="1">
                  <c:v>331</c:v>
                </c:pt>
                <c:pt idx="2">
                  <c:v>117</c:v>
                </c:pt>
              </c:numCache>
            </c:numRef>
          </c:val>
          <c:smooth val="0"/>
        </c:ser>
        <c:ser>
          <c:idx val="1"/>
          <c:order val="1"/>
          <c:tx>
            <c:strRef>
              <c:f>'Pivot table'!$D$31:$D$32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table'!$B$33:$B$36</c:f>
              <c:strCache>
                <c:ptCount val="3"/>
                <c:pt idx="0">
                  <c:v>Adolescent</c:v>
                </c:pt>
                <c:pt idx="1">
                  <c:v>Middle Age</c:v>
                </c:pt>
                <c:pt idx="2">
                  <c:v>Old</c:v>
                </c:pt>
              </c:strCache>
            </c:strRef>
          </c:cat>
          <c:val>
            <c:numRef>
              <c:f>'Pivot table'!$D$33:$D$36</c:f>
              <c:numCache>
                <c:formatCode>General</c:formatCode>
                <c:ptCount val="3"/>
                <c:pt idx="0">
                  <c:v>39</c:v>
                </c:pt>
                <c:pt idx="1">
                  <c:v>388</c:v>
                </c:pt>
                <c:pt idx="2">
                  <c:v>54</c:v>
                </c:pt>
              </c:numCache>
            </c:numRef>
          </c:val>
          <c:smooth val="0"/>
        </c:ser>
        <c:dLbls>
          <c:showLegendKey val="0"/>
          <c:showVal val="0"/>
          <c:showCatName val="0"/>
          <c:showSerName val="0"/>
          <c:showPercent val="0"/>
          <c:showBubbleSize val="0"/>
        </c:dLbls>
        <c:marker val="1"/>
        <c:smooth val="0"/>
        <c:axId val="514946472"/>
        <c:axId val="514946864"/>
      </c:lineChart>
      <c:catAx>
        <c:axId val="514946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946864"/>
        <c:crosses val="autoZero"/>
        <c:auto val="1"/>
        <c:lblAlgn val="ctr"/>
        <c:lblOffset val="100"/>
        <c:noMultiLvlLbl val="0"/>
      </c:catAx>
      <c:valAx>
        <c:axId val="51494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946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537210</xdr:colOff>
      <xdr:row>0</xdr:row>
      <xdr:rowOff>0</xdr:rowOff>
    </xdr:from>
    <xdr:to>
      <xdr:col>13</xdr:col>
      <xdr:colOff>320040</xdr:colOff>
      <xdr:row>14</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544830</xdr:colOff>
      <xdr:row>15</xdr:row>
      <xdr:rowOff>30480</xdr:rowOff>
    </xdr:from>
    <xdr:to>
      <xdr:col>13</xdr:col>
      <xdr:colOff>320040</xdr:colOff>
      <xdr:row>29</xdr:row>
      <xdr:rowOff>156210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552450</xdr:colOff>
      <xdr:row>30</xdr:row>
      <xdr:rowOff>15240</xdr:rowOff>
    </xdr:from>
    <xdr:to>
      <xdr:col>13</xdr:col>
      <xdr:colOff>312420</xdr:colOff>
      <xdr:row>45</xdr:row>
      <xdr:rowOff>34290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0</xdr:rowOff>
    </xdr:from>
    <xdr:to>
      <xdr:col>9</xdr:col>
      <xdr:colOff>160020</xdr:colOff>
      <xdr:row>17</xdr:row>
      <xdr:rowOff>53340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22860</xdr:rowOff>
    </xdr:from>
    <xdr:to>
      <xdr:col>16</xdr:col>
      <xdr:colOff>0</xdr:colOff>
      <xdr:row>31</xdr:row>
      <xdr:rowOff>22860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144780</xdr:colOff>
      <xdr:row>5</xdr:row>
      <xdr:rowOff>0</xdr:rowOff>
    </xdr:from>
    <xdr:to>
      <xdr:col>16</xdr:col>
      <xdr:colOff>0</xdr:colOff>
      <xdr:row>17</xdr:row>
      <xdr:rowOff>30480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xdr:rowOff>
    </xdr:from>
    <xdr:to>
      <xdr:col>2</xdr:col>
      <xdr:colOff>601980</xdr:colOff>
      <xdr:row>9</xdr:row>
      <xdr:rowOff>175260</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14401"/>
              <a:ext cx="1821180"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175261</xdr:rowOff>
    </xdr:from>
    <xdr:to>
      <xdr:col>2</xdr:col>
      <xdr:colOff>594360</xdr:colOff>
      <xdr:row>16</xdr:row>
      <xdr:rowOff>144780</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821181"/>
              <a:ext cx="1813560" cy="1249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121921</xdr:rowOff>
    </xdr:from>
    <xdr:to>
      <xdr:col>2</xdr:col>
      <xdr:colOff>601980</xdr:colOff>
      <xdr:row>26</xdr:row>
      <xdr:rowOff>99061</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048001"/>
              <a:ext cx="1821180" cy="1805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31.810417129629" createdVersion="5" refreshedVersion="5" minRefreshableVersion="3" recordCount="1000">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B31:E3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B18:E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1">
    <format dxfId="3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2"/>
    <pivotTable tabId="4" name="PivotTable3"/>
    <pivotTable tabId="4"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4" name="PivotTable3"/>
    <pivotTable tabId="4" name="PivotTable4"/>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2"/>
    <pivotTable tabId="4" name="PivotTable3"/>
    <pivotTable tabId="4" name="PivotTable4"/>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Region" cache="Slicer_Region" caption="Region" rowHeight="234950"/>
  <slicer name="Education"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B1" sqref="B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M2" sqref="M2"/>
    </sheetView>
  </sheetViews>
  <sheetFormatPr defaultColWidth="15" defaultRowHeight="14.4" x14ac:dyDescent="0.3"/>
  <cols>
    <col min="1" max="1" width="10.77734375" customWidth="1"/>
    <col min="2" max="2" width="16.88671875" customWidth="1"/>
    <col min="5" max="5" width="10.5546875" customWidth="1"/>
    <col min="6" max="6" width="22.33203125" customWidth="1"/>
    <col min="7" max="7" width="18" customWidth="1"/>
    <col min="9" max="9" width="13.8867187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37</v>
      </c>
      <c r="C2" t="s">
        <v>39</v>
      </c>
      <c r="D2" s="1">
        <v>40000</v>
      </c>
      <c r="E2">
        <v>1</v>
      </c>
      <c r="F2" t="s">
        <v>13</v>
      </c>
      <c r="G2" t="s">
        <v>14</v>
      </c>
      <c r="H2" t="s">
        <v>15</v>
      </c>
      <c r="I2">
        <v>0</v>
      </c>
      <c r="J2" t="s">
        <v>16</v>
      </c>
      <c r="K2" t="s">
        <v>17</v>
      </c>
      <c r="L2">
        <v>42</v>
      </c>
      <c r="M2" t="str">
        <f>IF(L2&lt;31,"Adolescent",IF(L2&lt;=55,"Middle Age","Old"))</f>
        <v>Middle Age</v>
      </c>
      <c r="N2" t="s">
        <v>18</v>
      </c>
    </row>
    <row r="3" spans="1:14" x14ac:dyDescent="0.3">
      <c r="A3">
        <v>24107</v>
      </c>
      <c r="B3" t="s">
        <v>37</v>
      </c>
      <c r="C3" t="s">
        <v>36</v>
      </c>
      <c r="D3" s="1">
        <v>30000</v>
      </c>
      <c r="E3">
        <v>3</v>
      </c>
      <c r="F3" t="s">
        <v>19</v>
      </c>
      <c r="G3" t="s">
        <v>20</v>
      </c>
      <c r="H3" t="s">
        <v>15</v>
      </c>
      <c r="I3">
        <v>1</v>
      </c>
      <c r="J3" t="s">
        <v>16</v>
      </c>
      <c r="K3" t="s">
        <v>17</v>
      </c>
      <c r="L3">
        <v>43</v>
      </c>
      <c r="M3" t="str">
        <f t="shared" ref="M3:M66" si="0">IF(L3&lt;31,"Adolescent",IF(L3&lt;=55,"Middle Age","Old"))</f>
        <v>Middle Age</v>
      </c>
      <c r="N3" t="s">
        <v>18</v>
      </c>
    </row>
    <row r="4" spans="1:14" x14ac:dyDescent="0.3">
      <c r="A4">
        <v>14177</v>
      </c>
      <c r="B4" t="s">
        <v>37</v>
      </c>
      <c r="C4" t="s">
        <v>36</v>
      </c>
      <c r="D4" s="1">
        <v>80000</v>
      </c>
      <c r="E4">
        <v>5</v>
      </c>
      <c r="F4" t="s">
        <v>19</v>
      </c>
      <c r="G4" t="s">
        <v>21</v>
      </c>
      <c r="H4" t="s">
        <v>18</v>
      </c>
      <c r="I4">
        <v>2</v>
      </c>
      <c r="J4" t="s">
        <v>22</v>
      </c>
      <c r="K4" t="s">
        <v>17</v>
      </c>
      <c r="L4">
        <v>60</v>
      </c>
      <c r="M4" t="str">
        <f t="shared" si="0"/>
        <v>Old</v>
      </c>
      <c r="N4" t="s">
        <v>18</v>
      </c>
    </row>
    <row r="5" spans="1:14" x14ac:dyDescent="0.3">
      <c r="A5">
        <v>24381</v>
      </c>
      <c r="B5" t="s">
        <v>38</v>
      </c>
      <c r="C5" t="s">
        <v>36</v>
      </c>
      <c r="D5" s="1">
        <v>70000</v>
      </c>
      <c r="E5">
        <v>0</v>
      </c>
      <c r="F5" t="s">
        <v>13</v>
      </c>
      <c r="G5" t="s">
        <v>21</v>
      </c>
      <c r="H5" t="s">
        <v>15</v>
      </c>
      <c r="I5">
        <v>1</v>
      </c>
      <c r="J5" t="s">
        <v>23</v>
      </c>
      <c r="K5" t="s">
        <v>24</v>
      </c>
      <c r="L5">
        <v>41</v>
      </c>
      <c r="M5" t="str">
        <f t="shared" si="0"/>
        <v>Middle Age</v>
      </c>
      <c r="N5" t="s">
        <v>15</v>
      </c>
    </row>
    <row r="6" spans="1:14" x14ac:dyDescent="0.3">
      <c r="A6">
        <v>25597</v>
      </c>
      <c r="B6" t="s">
        <v>38</v>
      </c>
      <c r="C6" t="s">
        <v>36</v>
      </c>
      <c r="D6" s="1">
        <v>30000</v>
      </c>
      <c r="E6">
        <v>0</v>
      </c>
      <c r="F6" t="s">
        <v>13</v>
      </c>
      <c r="G6" t="s">
        <v>20</v>
      </c>
      <c r="H6" t="s">
        <v>18</v>
      </c>
      <c r="I6">
        <v>0</v>
      </c>
      <c r="J6" t="s">
        <v>16</v>
      </c>
      <c r="K6" t="s">
        <v>17</v>
      </c>
      <c r="L6">
        <v>36</v>
      </c>
      <c r="M6" t="str">
        <f t="shared" si="0"/>
        <v>Middle Age</v>
      </c>
      <c r="N6" t="s">
        <v>15</v>
      </c>
    </row>
    <row r="7" spans="1:14" x14ac:dyDescent="0.3">
      <c r="A7">
        <v>13507</v>
      </c>
      <c r="B7" t="s">
        <v>37</v>
      </c>
      <c r="C7" t="s">
        <v>39</v>
      </c>
      <c r="D7" s="1">
        <v>10000</v>
      </c>
      <c r="E7">
        <v>2</v>
      </c>
      <c r="F7" t="s">
        <v>19</v>
      </c>
      <c r="G7" t="s">
        <v>25</v>
      </c>
      <c r="H7" t="s">
        <v>15</v>
      </c>
      <c r="I7">
        <v>0</v>
      </c>
      <c r="J7" t="s">
        <v>26</v>
      </c>
      <c r="K7" t="s">
        <v>17</v>
      </c>
      <c r="L7">
        <v>50</v>
      </c>
      <c r="M7" t="str">
        <f t="shared" si="0"/>
        <v>Middle Age</v>
      </c>
      <c r="N7" t="s">
        <v>18</v>
      </c>
    </row>
    <row r="8" spans="1:14" x14ac:dyDescent="0.3">
      <c r="A8">
        <v>27974</v>
      </c>
      <c r="B8" t="s">
        <v>38</v>
      </c>
      <c r="C8" t="s">
        <v>36</v>
      </c>
      <c r="D8" s="1">
        <v>160000</v>
      </c>
      <c r="E8">
        <v>2</v>
      </c>
      <c r="F8" t="s">
        <v>27</v>
      </c>
      <c r="G8" t="s">
        <v>28</v>
      </c>
      <c r="H8" t="s">
        <v>15</v>
      </c>
      <c r="I8">
        <v>4</v>
      </c>
      <c r="J8" t="s">
        <v>16</v>
      </c>
      <c r="K8" t="s">
        <v>24</v>
      </c>
      <c r="L8">
        <v>33</v>
      </c>
      <c r="M8" t="str">
        <f t="shared" si="0"/>
        <v>Middle Age</v>
      </c>
      <c r="N8" t="s">
        <v>15</v>
      </c>
    </row>
    <row r="9" spans="1:14" x14ac:dyDescent="0.3">
      <c r="A9">
        <v>19364</v>
      </c>
      <c r="B9" t="s">
        <v>37</v>
      </c>
      <c r="C9" t="s">
        <v>36</v>
      </c>
      <c r="D9" s="1">
        <v>40000</v>
      </c>
      <c r="E9">
        <v>1</v>
      </c>
      <c r="F9" t="s">
        <v>13</v>
      </c>
      <c r="G9" t="s">
        <v>14</v>
      </c>
      <c r="H9" t="s">
        <v>15</v>
      </c>
      <c r="I9">
        <v>0</v>
      </c>
      <c r="J9" t="s">
        <v>16</v>
      </c>
      <c r="K9" t="s">
        <v>17</v>
      </c>
      <c r="L9">
        <v>43</v>
      </c>
      <c r="M9" t="str">
        <f t="shared" si="0"/>
        <v>Middle Age</v>
      </c>
      <c r="N9" t="s">
        <v>15</v>
      </c>
    </row>
    <row r="10" spans="1:14" x14ac:dyDescent="0.3">
      <c r="A10">
        <v>22155</v>
      </c>
      <c r="B10" t="s">
        <v>37</v>
      </c>
      <c r="C10" t="s">
        <v>36</v>
      </c>
      <c r="D10" s="1">
        <v>20000</v>
      </c>
      <c r="E10">
        <v>2</v>
      </c>
      <c r="F10" t="s">
        <v>29</v>
      </c>
      <c r="G10" t="s">
        <v>20</v>
      </c>
      <c r="H10" t="s">
        <v>15</v>
      </c>
      <c r="I10">
        <v>2</v>
      </c>
      <c r="J10" t="s">
        <v>23</v>
      </c>
      <c r="K10" t="s">
        <v>24</v>
      </c>
      <c r="L10">
        <v>58</v>
      </c>
      <c r="M10" t="str">
        <f t="shared" si="0"/>
        <v>Old</v>
      </c>
      <c r="N10" t="s">
        <v>18</v>
      </c>
    </row>
    <row r="11" spans="1:14" x14ac:dyDescent="0.3">
      <c r="A11">
        <v>19280</v>
      </c>
      <c r="B11" t="s">
        <v>37</v>
      </c>
      <c r="C11" t="s">
        <v>36</v>
      </c>
      <c r="D11" s="1">
        <v>120000</v>
      </c>
      <c r="E11">
        <v>2</v>
      </c>
      <c r="F11" t="s">
        <v>19</v>
      </c>
      <c r="G11" t="s">
        <v>25</v>
      </c>
      <c r="H11" t="s">
        <v>15</v>
      </c>
      <c r="I11">
        <v>1</v>
      </c>
      <c r="J11" t="s">
        <v>16</v>
      </c>
      <c r="K11" t="s">
        <v>17</v>
      </c>
      <c r="L11">
        <v>40</v>
      </c>
      <c r="M11" t="str">
        <f t="shared" si="0"/>
        <v>Middle Age</v>
      </c>
      <c r="N11" t="s">
        <v>15</v>
      </c>
    </row>
    <row r="12" spans="1:14" x14ac:dyDescent="0.3">
      <c r="A12">
        <v>22173</v>
      </c>
      <c r="B12" t="s">
        <v>37</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38</v>
      </c>
      <c r="C13" t="s">
        <v>39</v>
      </c>
      <c r="D13" s="1">
        <v>90000</v>
      </c>
      <c r="E13">
        <v>0</v>
      </c>
      <c r="F13" t="s">
        <v>13</v>
      </c>
      <c r="G13" t="s">
        <v>21</v>
      </c>
      <c r="H13" t="s">
        <v>18</v>
      </c>
      <c r="I13">
        <v>4</v>
      </c>
      <c r="J13" t="s">
        <v>46</v>
      </c>
      <c r="K13" t="s">
        <v>24</v>
      </c>
      <c r="L13">
        <v>36</v>
      </c>
      <c r="M13" t="str">
        <f t="shared" si="0"/>
        <v>Middle Age</v>
      </c>
      <c r="N13" t="s">
        <v>18</v>
      </c>
    </row>
    <row r="14" spans="1:14" x14ac:dyDescent="0.3">
      <c r="A14">
        <v>11434</v>
      </c>
      <c r="B14" t="s">
        <v>37</v>
      </c>
      <c r="C14" t="s">
        <v>36</v>
      </c>
      <c r="D14" s="1">
        <v>170000</v>
      </c>
      <c r="E14">
        <v>5</v>
      </c>
      <c r="F14" t="s">
        <v>19</v>
      </c>
      <c r="G14" t="s">
        <v>21</v>
      </c>
      <c r="H14" t="s">
        <v>15</v>
      </c>
      <c r="I14">
        <v>0</v>
      </c>
      <c r="J14" t="s">
        <v>16</v>
      </c>
      <c r="K14" t="s">
        <v>17</v>
      </c>
      <c r="L14">
        <v>55</v>
      </c>
      <c r="M14" t="str">
        <f t="shared" si="0"/>
        <v>Middle Age</v>
      </c>
      <c r="N14" t="s">
        <v>18</v>
      </c>
    </row>
    <row r="15" spans="1:14" x14ac:dyDescent="0.3">
      <c r="A15">
        <v>25323</v>
      </c>
      <c r="B15" t="s">
        <v>37</v>
      </c>
      <c r="C15" t="s">
        <v>36</v>
      </c>
      <c r="D15" s="1">
        <v>40000</v>
      </c>
      <c r="E15">
        <v>2</v>
      </c>
      <c r="F15" t="s">
        <v>19</v>
      </c>
      <c r="G15" t="s">
        <v>20</v>
      </c>
      <c r="H15" t="s">
        <v>15</v>
      </c>
      <c r="I15">
        <v>1</v>
      </c>
      <c r="J15" t="s">
        <v>26</v>
      </c>
      <c r="K15" t="s">
        <v>17</v>
      </c>
      <c r="L15">
        <v>35</v>
      </c>
      <c r="M15" t="str">
        <f t="shared" si="0"/>
        <v>Middle Age</v>
      </c>
      <c r="N15" t="s">
        <v>15</v>
      </c>
    </row>
    <row r="16" spans="1:14" x14ac:dyDescent="0.3">
      <c r="A16">
        <v>23542</v>
      </c>
      <c r="B16" t="s">
        <v>38</v>
      </c>
      <c r="C16" t="s">
        <v>36</v>
      </c>
      <c r="D16" s="1">
        <v>60000</v>
      </c>
      <c r="E16">
        <v>1</v>
      </c>
      <c r="F16" t="s">
        <v>19</v>
      </c>
      <c r="G16" t="s">
        <v>14</v>
      </c>
      <c r="H16" t="s">
        <v>18</v>
      </c>
      <c r="I16">
        <v>1</v>
      </c>
      <c r="J16" t="s">
        <v>16</v>
      </c>
      <c r="K16" t="s">
        <v>24</v>
      </c>
      <c r="L16">
        <v>45</v>
      </c>
      <c r="M16" t="str">
        <f t="shared" si="0"/>
        <v>Middle Age</v>
      </c>
      <c r="N16" t="s">
        <v>15</v>
      </c>
    </row>
    <row r="17" spans="1:14" x14ac:dyDescent="0.3">
      <c r="A17">
        <v>20870</v>
      </c>
      <c r="B17" t="s">
        <v>38</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38</v>
      </c>
      <c r="C18" t="s">
        <v>36</v>
      </c>
      <c r="D18" s="1">
        <v>30000</v>
      </c>
      <c r="E18">
        <v>3</v>
      </c>
      <c r="F18" t="s">
        <v>19</v>
      </c>
      <c r="G18" t="s">
        <v>20</v>
      </c>
      <c r="H18" t="s">
        <v>18</v>
      </c>
      <c r="I18">
        <v>2</v>
      </c>
      <c r="J18" t="s">
        <v>26</v>
      </c>
      <c r="K18" t="s">
        <v>24</v>
      </c>
      <c r="L18">
        <v>59</v>
      </c>
      <c r="M18" t="str">
        <f t="shared" si="0"/>
        <v>Old</v>
      </c>
      <c r="N18" t="s">
        <v>15</v>
      </c>
    </row>
    <row r="19" spans="1:14" x14ac:dyDescent="0.3">
      <c r="A19">
        <v>12610</v>
      </c>
      <c r="B19" t="s">
        <v>37</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38</v>
      </c>
      <c r="C20" t="s">
        <v>36</v>
      </c>
      <c r="D20" s="1">
        <v>40000</v>
      </c>
      <c r="E20">
        <v>2</v>
      </c>
      <c r="F20" t="s">
        <v>19</v>
      </c>
      <c r="G20" t="s">
        <v>20</v>
      </c>
      <c r="H20" t="s">
        <v>15</v>
      </c>
      <c r="I20">
        <v>1</v>
      </c>
      <c r="J20" t="s">
        <v>26</v>
      </c>
      <c r="K20" t="s">
        <v>17</v>
      </c>
      <c r="L20">
        <v>35</v>
      </c>
      <c r="M20" t="str">
        <f t="shared" si="0"/>
        <v>Middle Age</v>
      </c>
      <c r="N20" t="s">
        <v>15</v>
      </c>
    </row>
    <row r="21" spans="1:14" x14ac:dyDescent="0.3">
      <c r="A21">
        <v>25940</v>
      </c>
      <c r="B21" t="s">
        <v>38</v>
      </c>
      <c r="C21" t="s">
        <v>36</v>
      </c>
      <c r="D21" s="1">
        <v>20000</v>
      </c>
      <c r="E21">
        <v>2</v>
      </c>
      <c r="F21" t="s">
        <v>29</v>
      </c>
      <c r="G21" t="s">
        <v>20</v>
      </c>
      <c r="H21" t="s">
        <v>15</v>
      </c>
      <c r="I21">
        <v>2</v>
      </c>
      <c r="J21" t="s">
        <v>23</v>
      </c>
      <c r="K21" t="s">
        <v>24</v>
      </c>
      <c r="L21">
        <v>55</v>
      </c>
      <c r="M21" t="str">
        <f t="shared" si="0"/>
        <v>Middle Age</v>
      </c>
      <c r="N21" t="s">
        <v>15</v>
      </c>
    </row>
    <row r="22" spans="1:14" x14ac:dyDescent="0.3">
      <c r="A22">
        <v>25598</v>
      </c>
      <c r="B22" t="s">
        <v>37</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38</v>
      </c>
      <c r="C23" t="s">
        <v>39</v>
      </c>
      <c r="D23" s="1">
        <v>80000</v>
      </c>
      <c r="E23">
        <v>0</v>
      </c>
      <c r="F23" t="s">
        <v>13</v>
      </c>
      <c r="G23" t="s">
        <v>21</v>
      </c>
      <c r="H23" t="s">
        <v>15</v>
      </c>
      <c r="I23">
        <v>4</v>
      </c>
      <c r="J23" t="s">
        <v>46</v>
      </c>
      <c r="K23" t="s">
        <v>24</v>
      </c>
      <c r="L23">
        <v>35</v>
      </c>
      <c r="M23" t="str">
        <f t="shared" si="0"/>
        <v>Middle Age</v>
      </c>
      <c r="N23" t="s">
        <v>18</v>
      </c>
    </row>
    <row r="24" spans="1:14" x14ac:dyDescent="0.3">
      <c r="A24">
        <v>19193</v>
      </c>
      <c r="B24" t="s">
        <v>38</v>
      </c>
      <c r="C24" t="s">
        <v>36</v>
      </c>
      <c r="D24" s="1">
        <v>40000</v>
      </c>
      <c r="E24">
        <v>2</v>
      </c>
      <c r="F24" t="s">
        <v>19</v>
      </c>
      <c r="G24" t="s">
        <v>20</v>
      </c>
      <c r="H24" t="s">
        <v>15</v>
      </c>
      <c r="I24">
        <v>0</v>
      </c>
      <c r="J24" t="s">
        <v>26</v>
      </c>
      <c r="K24" t="s">
        <v>17</v>
      </c>
      <c r="L24">
        <v>35</v>
      </c>
      <c r="M24" t="str">
        <f t="shared" si="0"/>
        <v>Middle Age</v>
      </c>
      <c r="N24" t="s">
        <v>15</v>
      </c>
    </row>
    <row r="25" spans="1:14" x14ac:dyDescent="0.3">
      <c r="A25">
        <v>26412</v>
      </c>
      <c r="B25" t="s">
        <v>37</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38</v>
      </c>
      <c r="C26" t="s">
        <v>36</v>
      </c>
      <c r="D26" s="1">
        <v>40000</v>
      </c>
      <c r="E26">
        <v>2</v>
      </c>
      <c r="F26" t="s">
        <v>19</v>
      </c>
      <c r="G26" t="s">
        <v>20</v>
      </c>
      <c r="H26" t="s">
        <v>18</v>
      </c>
      <c r="I26">
        <v>1</v>
      </c>
      <c r="J26" t="s">
        <v>16</v>
      </c>
      <c r="K26" t="s">
        <v>17</v>
      </c>
      <c r="L26">
        <v>34</v>
      </c>
      <c r="M26" t="str">
        <f t="shared" si="0"/>
        <v>Middle Age</v>
      </c>
      <c r="N26" t="s">
        <v>18</v>
      </c>
    </row>
    <row r="27" spans="1:14" x14ac:dyDescent="0.3">
      <c r="A27">
        <v>12590</v>
      </c>
      <c r="B27" t="s">
        <v>38</v>
      </c>
      <c r="C27" t="s">
        <v>36</v>
      </c>
      <c r="D27" s="1">
        <v>30000</v>
      </c>
      <c r="E27">
        <v>1</v>
      </c>
      <c r="F27" t="s">
        <v>13</v>
      </c>
      <c r="G27" t="s">
        <v>20</v>
      </c>
      <c r="H27" t="s">
        <v>15</v>
      </c>
      <c r="I27">
        <v>0</v>
      </c>
      <c r="J27" t="s">
        <v>16</v>
      </c>
      <c r="K27" t="s">
        <v>17</v>
      </c>
      <c r="L27">
        <v>63</v>
      </c>
      <c r="M27" t="str">
        <f t="shared" si="0"/>
        <v>Old</v>
      </c>
      <c r="N27" t="s">
        <v>18</v>
      </c>
    </row>
    <row r="28" spans="1:14" x14ac:dyDescent="0.3">
      <c r="A28">
        <v>17841</v>
      </c>
      <c r="B28" t="s">
        <v>38</v>
      </c>
      <c r="C28" t="s">
        <v>36</v>
      </c>
      <c r="D28" s="1">
        <v>30000</v>
      </c>
      <c r="E28">
        <v>0</v>
      </c>
      <c r="F28" t="s">
        <v>19</v>
      </c>
      <c r="G28" t="s">
        <v>20</v>
      </c>
      <c r="H28" t="s">
        <v>18</v>
      </c>
      <c r="I28">
        <v>1</v>
      </c>
      <c r="J28" t="s">
        <v>16</v>
      </c>
      <c r="K28" t="s">
        <v>17</v>
      </c>
      <c r="L28">
        <v>29</v>
      </c>
      <c r="M28" t="str">
        <f t="shared" si="0"/>
        <v>Adolescent</v>
      </c>
      <c r="N28" t="s">
        <v>15</v>
      </c>
    </row>
    <row r="29" spans="1:14" x14ac:dyDescent="0.3">
      <c r="A29">
        <v>18283</v>
      </c>
      <c r="B29" t="s">
        <v>38</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37</v>
      </c>
      <c r="C30" t="s">
        <v>36</v>
      </c>
      <c r="D30" s="1">
        <v>70000</v>
      </c>
      <c r="E30">
        <v>5</v>
      </c>
      <c r="F30" t="s">
        <v>19</v>
      </c>
      <c r="G30" t="s">
        <v>14</v>
      </c>
      <c r="H30" t="s">
        <v>15</v>
      </c>
      <c r="I30">
        <v>2</v>
      </c>
      <c r="J30" t="s">
        <v>23</v>
      </c>
      <c r="K30" t="s">
        <v>24</v>
      </c>
      <c r="L30">
        <v>44</v>
      </c>
      <c r="M30" t="str">
        <f t="shared" si="0"/>
        <v>Middle Age</v>
      </c>
      <c r="N30" t="s">
        <v>18</v>
      </c>
    </row>
    <row r="31" spans="1:14" x14ac:dyDescent="0.3">
      <c r="A31">
        <v>16466</v>
      </c>
      <c r="B31" t="s">
        <v>38</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37</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37</v>
      </c>
      <c r="C33" t="s">
        <v>36</v>
      </c>
      <c r="D33" s="1">
        <v>10000</v>
      </c>
      <c r="E33">
        <v>0</v>
      </c>
      <c r="F33" t="s">
        <v>19</v>
      </c>
      <c r="G33" t="s">
        <v>25</v>
      </c>
      <c r="H33" t="s">
        <v>18</v>
      </c>
      <c r="I33">
        <v>1</v>
      </c>
      <c r="J33" t="s">
        <v>16</v>
      </c>
      <c r="K33" t="s">
        <v>24</v>
      </c>
      <c r="L33">
        <v>26</v>
      </c>
      <c r="M33" t="str">
        <f t="shared" si="0"/>
        <v>Adolescent</v>
      </c>
      <c r="N33" t="s">
        <v>15</v>
      </c>
    </row>
    <row r="34" spans="1:14" x14ac:dyDescent="0.3">
      <c r="A34">
        <v>20942</v>
      </c>
      <c r="B34" t="s">
        <v>38</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38</v>
      </c>
      <c r="C35" t="s">
        <v>36</v>
      </c>
      <c r="D35" s="1">
        <v>80000</v>
      </c>
      <c r="E35">
        <v>2</v>
      </c>
      <c r="F35" t="s">
        <v>27</v>
      </c>
      <c r="G35" t="s">
        <v>14</v>
      </c>
      <c r="H35" t="s">
        <v>18</v>
      </c>
      <c r="I35">
        <v>2</v>
      </c>
      <c r="J35" t="s">
        <v>26</v>
      </c>
      <c r="K35" t="s">
        <v>24</v>
      </c>
      <c r="L35">
        <v>50</v>
      </c>
      <c r="M35" t="str">
        <f t="shared" si="0"/>
        <v>Middle Age</v>
      </c>
      <c r="N35" t="s">
        <v>15</v>
      </c>
    </row>
    <row r="36" spans="1:14" x14ac:dyDescent="0.3">
      <c r="A36">
        <v>12291</v>
      </c>
      <c r="B36" t="s">
        <v>38</v>
      </c>
      <c r="C36" t="s">
        <v>36</v>
      </c>
      <c r="D36" s="1">
        <v>90000</v>
      </c>
      <c r="E36">
        <v>5</v>
      </c>
      <c r="F36" t="s">
        <v>19</v>
      </c>
      <c r="G36" t="s">
        <v>21</v>
      </c>
      <c r="H36" t="s">
        <v>18</v>
      </c>
      <c r="I36">
        <v>2</v>
      </c>
      <c r="J36" t="s">
        <v>22</v>
      </c>
      <c r="K36" t="s">
        <v>17</v>
      </c>
      <c r="L36">
        <v>62</v>
      </c>
      <c r="M36" t="str">
        <f t="shared" si="0"/>
        <v>Old</v>
      </c>
      <c r="N36" t="s">
        <v>15</v>
      </c>
    </row>
    <row r="37" spans="1:14" x14ac:dyDescent="0.3">
      <c r="A37">
        <v>28380</v>
      </c>
      <c r="B37" t="s">
        <v>38</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37</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38</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38</v>
      </c>
      <c r="C40" t="s">
        <v>36</v>
      </c>
      <c r="D40" s="1">
        <v>20000</v>
      </c>
      <c r="E40">
        <v>0</v>
      </c>
      <c r="F40" t="s">
        <v>27</v>
      </c>
      <c r="G40" t="s">
        <v>25</v>
      </c>
      <c r="H40" t="s">
        <v>18</v>
      </c>
      <c r="I40">
        <v>1</v>
      </c>
      <c r="J40" t="s">
        <v>22</v>
      </c>
      <c r="K40" t="s">
        <v>17</v>
      </c>
      <c r="L40">
        <v>28</v>
      </c>
      <c r="M40" t="str">
        <f t="shared" si="0"/>
        <v>Adolescent</v>
      </c>
      <c r="N40" t="s">
        <v>18</v>
      </c>
    </row>
    <row r="41" spans="1:14" x14ac:dyDescent="0.3">
      <c r="A41">
        <v>16259</v>
      </c>
      <c r="B41" t="s">
        <v>38</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38</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38</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37</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37</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37</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37</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37</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38</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37</v>
      </c>
      <c r="C50" t="s">
        <v>36</v>
      </c>
      <c r="D50" s="1">
        <v>30000</v>
      </c>
      <c r="E50">
        <v>2</v>
      </c>
      <c r="F50" t="s">
        <v>19</v>
      </c>
      <c r="G50" t="s">
        <v>20</v>
      </c>
      <c r="H50" t="s">
        <v>18</v>
      </c>
      <c r="I50">
        <v>2</v>
      </c>
      <c r="J50" t="s">
        <v>16</v>
      </c>
      <c r="K50" t="s">
        <v>17</v>
      </c>
      <c r="L50">
        <v>42</v>
      </c>
      <c r="M50" t="str">
        <f t="shared" si="0"/>
        <v>Middle Age</v>
      </c>
      <c r="N50" t="s">
        <v>18</v>
      </c>
    </row>
    <row r="51" spans="1:14" x14ac:dyDescent="0.3">
      <c r="A51">
        <v>14939</v>
      </c>
      <c r="B51" t="s">
        <v>38</v>
      </c>
      <c r="C51" t="s">
        <v>36</v>
      </c>
      <c r="D51" s="1">
        <v>40000</v>
      </c>
      <c r="E51">
        <v>0</v>
      </c>
      <c r="F51" t="s">
        <v>13</v>
      </c>
      <c r="G51" t="s">
        <v>20</v>
      </c>
      <c r="H51" t="s">
        <v>15</v>
      </c>
      <c r="I51">
        <v>0</v>
      </c>
      <c r="J51" t="s">
        <v>16</v>
      </c>
      <c r="K51" t="s">
        <v>17</v>
      </c>
      <c r="L51">
        <v>39</v>
      </c>
      <c r="M51" t="str">
        <f t="shared" si="0"/>
        <v>Middle Age</v>
      </c>
      <c r="N51" t="s">
        <v>15</v>
      </c>
    </row>
    <row r="52" spans="1:14" x14ac:dyDescent="0.3">
      <c r="A52">
        <v>13826</v>
      </c>
      <c r="B52" t="s">
        <v>38</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38</v>
      </c>
      <c r="C53" t="s">
        <v>36</v>
      </c>
      <c r="D53" s="1">
        <v>80000</v>
      </c>
      <c r="E53">
        <v>0</v>
      </c>
      <c r="F53" t="s">
        <v>13</v>
      </c>
      <c r="G53" t="s">
        <v>21</v>
      </c>
      <c r="H53" t="s">
        <v>18</v>
      </c>
      <c r="I53">
        <v>4</v>
      </c>
      <c r="J53" t="s">
        <v>46</v>
      </c>
      <c r="K53" t="s">
        <v>24</v>
      </c>
      <c r="L53">
        <v>35</v>
      </c>
      <c r="M53" t="str">
        <f t="shared" si="0"/>
        <v>Middle Age</v>
      </c>
      <c r="N53" t="s">
        <v>18</v>
      </c>
    </row>
    <row r="54" spans="1:14" x14ac:dyDescent="0.3">
      <c r="A54">
        <v>12558</v>
      </c>
      <c r="B54" t="s">
        <v>37</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38</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38</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37</v>
      </c>
      <c r="C57" t="s">
        <v>36</v>
      </c>
      <c r="D57" s="1">
        <v>80000</v>
      </c>
      <c r="E57">
        <v>4</v>
      </c>
      <c r="F57" t="s">
        <v>27</v>
      </c>
      <c r="G57" t="s">
        <v>21</v>
      </c>
      <c r="H57" t="s">
        <v>15</v>
      </c>
      <c r="I57">
        <v>2</v>
      </c>
      <c r="J57" t="s">
        <v>46</v>
      </c>
      <c r="K57" t="s">
        <v>17</v>
      </c>
      <c r="L57">
        <v>54</v>
      </c>
      <c r="M57" t="str">
        <f t="shared" si="0"/>
        <v>Middle Age</v>
      </c>
      <c r="N57" t="s">
        <v>18</v>
      </c>
    </row>
    <row r="58" spans="1:14" x14ac:dyDescent="0.3">
      <c r="A58">
        <v>12808</v>
      </c>
      <c r="B58" t="s">
        <v>37</v>
      </c>
      <c r="C58" t="s">
        <v>36</v>
      </c>
      <c r="D58" s="1">
        <v>40000</v>
      </c>
      <c r="E58">
        <v>0</v>
      </c>
      <c r="F58" t="s">
        <v>13</v>
      </c>
      <c r="G58" t="s">
        <v>20</v>
      </c>
      <c r="H58" t="s">
        <v>15</v>
      </c>
      <c r="I58">
        <v>0</v>
      </c>
      <c r="J58" t="s">
        <v>16</v>
      </c>
      <c r="K58" t="s">
        <v>17</v>
      </c>
      <c r="L58">
        <v>38</v>
      </c>
      <c r="M58" t="str">
        <f t="shared" si="0"/>
        <v>Middle Age</v>
      </c>
      <c r="N58" t="s">
        <v>15</v>
      </c>
    </row>
    <row r="59" spans="1:14" x14ac:dyDescent="0.3">
      <c r="A59">
        <v>20567</v>
      </c>
      <c r="B59" t="s">
        <v>37</v>
      </c>
      <c r="C59" t="s">
        <v>36</v>
      </c>
      <c r="D59" s="1">
        <v>130000</v>
      </c>
      <c r="E59">
        <v>4</v>
      </c>
      <c r="F59" t="s">
        <v>19</v>
      </c>
      <c r="G59" t="s">
        <v>21</v>
      </c>
      <c r="H59" t="s">
        <v>18</v>
      </c>
      <c r="I59">
        <v>4</v>
      </c>
      <c r="J59" t="s">
        <v>23</v>
      </c>
      <c r="K59" t="s">
        <v>17</v>
      </c>
      <c r="L59">
        <v>61</v>
      </c>
      <c r="M59" t="str">
        <f t="shared" si="0"/>
        <v>Old</v>
      </c>
      <c r="N59" t="s">
        <v>15</v>
      </c>
    </row>
    <row r="60" spans="1:14" x14ac:dyDescent="0.3">
      <c r="A60">
        <v>25502</v>
      </c>
      <c r="B60" t="s">
        <v>37</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37</v>
      </c>
      <c r="C61" t="s">
        <v>36</v>
      </c>
      <c r="D61" s="1">
        <v>60000</v>
      </c>
      <c r="E61">
        <v>2</v>
      </c>
      <c r="F61" t="s">
        <v>13</v>
      </c>
      <c r="G61" t="s">
        <v>21</v>
      </c>
      <c r="H61" t="s">
        <v>15</v>
      </c>
      <c r="I61">
        <v>1</v>
      </c>
      <c r="J61" t="s">
        <v>22</v>
      </c>
      <c r="K61" t="s">
        <v>24</v>
      </c>
      <c r="L61">
        <v>38</v>
      </c>
      <c r="M61" t="str">
        <f t="shared" si="0"/>
        <v>Middle Age</v>
      </c>
      <c r="N61" t="s">
        <v>15</v>
      </c>
    </row>
    <row r="62" spans="1:14" x14ac:dyDescent="0.3">
      <c r="A62">
        <v>24185</v>
      </c>
      <c r="B62" t="s">
        <v>38</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38</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37</v>
      </c>
      <c r="C64" t="s">
        <v>36</v>
      </c>
      <c r="D64" s="1">
        <v>40000</v>
      </c>
      <c r="E64">
        <v>2</v>
      </c>
      <c r="F64" t="s">
        <v>13</v>
      </c>
      <c r="G64" t="s">
        <v>28</v>
      </c>
      <c r="H64" t="s">
        <v>15</v>
      </c>
      <c r="I64">
        <v>1</v>
      </c>
      <c r="J64" t="s">
        <v>16</v>
      </c>
      <c r="K64" t="s">
        <v>24</v>
      </c>
      <c r="L64">
        <v>52</v>
      </c>
      <c r="M64" t="str">
        <f t="shared" si="0"/>
        <v>Middle Age</v>
      </c>
      <c r="N64" t="s">
        <v>15</v>
      </c>
    </row>
    <row r="65" spans="1:14" x14ac:dyDescent="0.3">
      <c r="A65">
        <v>16185</v>
      </c>
      <c r="B65" t="s">
        <v>38</v>
      </c>
      <c r="C65" t="s">
        <v>36</v>
      </c>
      <c r="D65" s="1">
        <v>60000</v>
      </c>
      <c r="E65">
        <v>4</v>
      </c>
      <c r="F65" t="s">
        <v>13</v>
      </c>
      <c r="G65" t="s">
        <v>21</v>
      </c>
      <c r="H65" t="s">
        <v>15</v>
      </c>
      <c r="I65">
        <v>3</v>
      </c>
      <c r="J65" t="s">
        <v>46</v>
      </c>
      <c r="K65" t="s">
        <v>24</v>
      </c>
      <c r="L65">
        <v>41</v>
      </c>
      <c r="M65" t="str">
        <f t="shared" si="0"/>
        <v>Middle Age</v>
      </c>
      <c r="N65" t="s">
        <v>18</v>
      </c>
    </row>
    <row r="66" spans="1:14" x14ac:dyDescent="0.3">
      <c r="A66">
        <v>14927</v>
      </c>
      <c r="B66" t="s">
        <v>37</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38</v>
      </c>
      <c r="C67" t="s">
        <v>36</v>
      </c>
      <c r="D67" s="1">
        <v>30000</v>
      </c>
      <c r="E67">
        <v>2</v>
      </c>
      <c r="F67" t="s">
        <v>19</v>
      </c>
      <c r="G67" t="s">
        <v>20</v>
      </c>
      <c r="H67" t="s">
        <v>15</v>
      </c>
      <c r="I67">
        <v>2</v>
      </c>
      <c r="J67" t="s">
        <v>23</v>
      </c>
      <c r="K67" t="s">
        <v>24</v>
      </c>
      <c r="L67">
        <v>68</v>
      </c>
      <c r="M67" t="str">
        <f t="shared" ref="M67:M130" si="1">IF(L67&lt;31,"Adolescent",IF(L67&lt;=55,"Middle Age","Old"))</f>
        <v>Old</v>
      </c>
      <c r="N67" t="s">
        <v>18</v>
      </c>
    </row>
    <row r="68" spans="1:14" x14ac:dyDescent="0.3">
      <c r="A68">
        <v>29355</v>
      </c>
      <c r="B68" t="s">
        <v>37</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38</v>
      </c>
      <c r="C69" t="s">
        <v>36</v>
      </c>
      <c r="D69" s="1">
        <v>30000</v>
      </c>
      <c r="E69">
        <v>0</v>
      </c>
      <c r="F69" t="s">
        <v>27</v>
      </c>
      <c r="G69" t="s">
        <v>25</v>
      </c>
      <c r="H69" t="s">
        <v>15</v>
      </c>
      <c r="I69">
        <v>1</v>
      </c>
      <c r="J69" t="s">
        <v>22</v>
      </c>
      <c r="K69" t="s">
        <v>17</v>
      </c>
      <c r="L69">
        <v>33</v>
      </c>
      <c r="M69" t="str">
        <f t="shared" si="1"/>
        <v>Middle Age</v>
      </c>
      <c r="N69" t="s">
        <v>15</v>
      </c>
    </row>
    <row r="70" spans="1:14" x14ac:dyDescent="0.3">
      <c r="A70">
        <v>14813</v>
      </c>
      <c r="B70" t="s">
        <v>38</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37</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37</v>
      </c>
      <c r="C72" t="s">
        <v>36</v>
      </c>
      <c r="D72" s="1">
        <v>120000</v>
      </c>
      <c r="E72">
        <v>0</v>
      </c>
      <c r="F72" t="s">
        <v>29</v>
      </c>
      <c r="G72" t="s">
        <v>21</v>
      </c>
      <c r="H72" t="s">
        <v>15</v>
      </c>
      <c r="I72">
        <v>4</v>
      </c>
      <c r="J72" t="s">
        <v>46</v>
      </c>
      <c r="K72" t="s">
        <v>24</v>
      </c>
      <c r="L72">
        <v>36</v>
      </c>
      <c r="M72" t="str">
        <f t="shared" si="1"/>
        <v>Middle Age</v>
      </c>
      <c r="N72" t="s">
        <v>15</v>
      </c>
    </row>
    <row r="73" spans="1:14" x14ac:dyDescent="0.3">
      <c r="A73">
        <v>16200</v>
      </c>
      <c r="B73" t="s">
        <v>38</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37</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38</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37</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38</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38</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37</v>
      </c>
      <c r="C79" t="s">
        <v>36</v>
      </c>
      <c r="D79" s="1">
        <v>80000</v>
      </c>
      <c r="E79">
        <v>0</v>
      </c>
      <c r="F79" t="s">
        <v>13</v>
      </c>
      <c r="G79" t="s">
        <v>21</v>
      </c>
      <c r="H79" t="s">
        <v>15</v>
      </c>
      <c r="I79">
        <v>2</v>
      </c>
      <c r="J79" t="s">
        <v>46</v>
      </c>
      <c r="K79" t="s">
        <v>24</v>
      </c>
      <c r="L79">
        <v>29</v>
      </c>
      <c r="M79" t="str">
        <f t="shared" si="1"/>
        <v>Adolescent</v>
      </c>
      <c r="N79" t="s">
        <v>15</v>
      </c>
    </row>
    <row r="80" spans="1:14" x14ac:dyDescent="0.3">
      <c r="A80">
        <v>15752</v>
      </c>
      <c r="B80" t="s">
        <v>37</v>
      </c>
      <c r="C80" t="s">
        <v>36</v>
      </c>
      <c r="D80" s="1">
        <v>80000</v>
      </c>
      <c r="E80">
        <v>2</v>
      </c>
      <c r="F80" t="s">
        <v>27</v>
      </c>
      <c r="G80" t="s">
        <v>14</v>
      </c>
      <c r="H80" t="s">
        <v>18</v>
      </c>
      <c r="I80">
        <v>2</v>
      </c>
      <c r="J80" t="s">
        <v>26</v>
      </c>
      <c r="K80" t="s">
        <v>24</v>
      </c>
      <c r="L80">
        <v>50</v>
      </c>
      <c r="M80" t="str">
        <f t="shared" si="1"/>
        <v>Middle Age</v>
      </c>
      <c r="N80" t="s">
        <v>15</v>
      </c>
    </row>
    <row r="81" spans="1:14" x14ac:dyDescent="0.3">
      <c r="A81">
        <v>27745</v>
      </c>
      <c r="B81" t="s">
        <v>38</v>
      </c>
      <c r="C81" t="s">
        <v>36</v>
      </c>
      <c r="D81" s="1">
        <v>40000</v>
      </c>
      <c r="E81">
        <v>2</v>
      </c>
      <c r="F81" t="s">
        <v>13</v>
      </c>
      <c r="G81" t="s">
        <v>28</v>
      </c>
      <c r="H81" t="s">
        <v>15</v>
      </c>
      <c r="I81">
        <v>2</v>
      </c>
      <c r="J81" t="s">
        <v>23</v>
      </c>
      <c r="K81" t="s">
        <v>24</v>
      </c>
      <c r="L81">
        <v>63</v>
      </c>
      <c r="M81" t="str">
        <f t="shared" si="1"/>
        <v>Old</v>
      </c>
      <c r="N81" t="s">
        <v>15</v>
      </c>
    </row>
    <row r="82" spans="1:14" x14ac:dyDescent="0.3">
      <c r="A82">
        <v>20828</v>
      </c>
      <c r="B82" t="s">
        <v>37</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38</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37</v>
      </c>
      <c r="C84" t="s">
        <v>36</v>
      </c>
      <c r="D84" s="1">
        <v>30000</v>
      </c>
      <c r="E84">
        <v>0</v>
      </c>
      <c r="F84" t="s">
        <v>13</v>
      </c>
      <c r="G84" t="s">
        <v>20</v>
      </c>
      <c r="H84" t="s">
        <v>15</v>
      </c>
      <c r="I84">
        <v>0</v>
      </c>
      <c r="J84" t="s">
        <v>16</v>
      </c>
      <c r="K84" t="s">
        <v>17</v>
      </c>
      <c r="L84">
        <v>47</v>
      </c>
      <c r="M84" t="str">
        <f t="shared" si="1"/>
        <v>Middle Age</v>
      </c>
      <c r="N84" t="s">
        <v>15</v>
      </c>
    </row>
    <row r="85" spans="1:14" x14ac:dyDescent="0.3">
      <c r="A85">
        <v>28412</v>
      </c>
      <c r="B85" t="s">
        <v>38</v>
      </c>
      <c r="C85" t="s">
        <v>36</v>
      </c>
      <c r="D85" s="1">
        <v>20000</v>
      </c>
      <c r="E85">
        <v>0</v>
      </c>
      <c r="F85" t="s">
        <v>27</v>
      </c>
      <c r="G85" t="s">
        <v>25</v>
      </c>
      <c r="H85" t="s">
        <v>18</v>
      </c>
      <c r="I85">
        <v>1</v>
      </c>
      <c r="J85" t="s">
        <v>22</v>
      </c>
      <c r="K85" t="s">
        <v>17</v>
      </c>
      <c r="L85">
        <v>29</v>
      </c>
      <c r="M85" t="str">
        <f t="shared" si="1"/>
        <v>Adolescent</v>
      </c>
      <c r="N85" t="s">
        <v>18</v>
      </c>
    </row>
    <row r="86" spans="1:14" x14ac:dyDescent="0.3">
      <c r="A86">
        <v>24485</v>
      </c>
      <c r="B86" t="s">
        <v>38</v>
      </c>
      <c r="C86" t="s">
        <v>36</v>
      </c>
      <c r="D86" s="1">
        <v>40000</v>
      </c>
      <c r="E86">
        <v>2</v>
      </c>
      <c r="F86" t="s">
        <v>13</v>
      </c>
      <c r="G86" t="s">
        <v>28</v>
      </c>
      <c r="H86" t="s">
        <v>18</v>
      </c>
      <c r="I86">
        <v>1</v>
      </c>
      <c r="J86" t="s">
        <v>23</v>
      </c>
      <c r="K86" t="s">
        <v>24</v>
      </c>
      <c r="L86">
        <v>52</v>
      </c>
      <c r="M86" t="str">
        <f t="shared" si="1"/>
        <v>Middle Age</v>
      </c>
      <c r="N86" t="s">
        <v>15</v>
      </c>
    </row>
    <row r="87" spans="1:14" x14ac:dyDescent="0.3">
      <c r="A87">
        <v>16514</v>
      </c>
      <c r="B87" t="s">
        <v>38</v>
      </c>
      <c r="C87" t="s">
        <v>36</v>
      </c>
      <c r="D87" s="1">
        <v>10000</v>
      </c>
      <c r="E87">
        <v>0</v>
      </c>
      <c r="F87" t="s">
        <v>19</v>
      </c>
      <c r="G87" t="s">
        <v>25</v>
      </c>
      <c r="H87" t="s">
        <v>15</v>
      </c>
      <c r="I87">
        <v>1</v>
      </c>
      <c r="J87" t="s">
        <v>26</v>
      </c>
      <c r="K87" t="s">
        <v>24</v>
      </c>
      <c r="L87">
        <v>26</v>
      </c>
      <c r="M87" t="str">
        <f t="shared" si="1"/>
        <v>Adolescent</v>
      </c>
      <c r="N87" t="s">
        <v>15</v>
      </c>
    </row>
    <row r="88" spans="1:14" x14ac:dyDescent="0.3">
      <c r="A88">
        <v>17191</v>
      </c>
      <c r="B88" t="s">
        <v>38</v>
      </c>
      <c r="C88" t="s">
        <v>36</v>
      </c>
      <c r="D88" s="1">
        <v>130000</v>
      </c>
      <c r="E88">
        <v>3</v>
      </c>
      <c r="F88" t="s">
        <v>19</v>
      </c>
      <c r="G88" t="s">
        <v>21</v>
      </c>
      <c r="H88" t="s">
        <v>18</v>
      </c>
      <c r="I88">
        <v>3</v>
      </c>
      <c r="J88" t="s">
        <v>16</v>
      </c>
      <c r="K88" t="s">
        <v>17</v>
      </c>
      <c r="L88">
        <v>51</v>
      </c>
      <c r="M88" t="str">
        <f t="shared" si="1"/>
        <v>Middle Age</v>
      </c>
      <c r="N88" t="s">
        <v>15</v>
      </c>
    </row>
    <row r="89" spans="1:14" x14ac:dyDescent="0.3">
      <c r="A89">
        <v>19608</v>
      </c>
      <c r="B89" t="s">
        <v>37</v>
      </c>
      <c r="C89" t="s">
        <v>36</v>
      </c>
      <c r="D89" s="1">
        <v>80000</v>
      </c>
      <c r="E89">
        <v>5</v>
      </c>
      <c r="F89" t="s">
        <v>13</v>
      </c>
      <c r="G89" t="s">
        <v>21</v>
      </c>
      <c r="H89" t="s">
        <v>15</v>
      </c>
      <c r="I89">
        <v>4</v>
      </c>
      <c r="J89" t="s">
        <v>26</v>
      </c>
      <c r="K89" t="s">
        <v>24</v>
      </c>
      <c r="L89">
        <v>40</v>
      </c>
      <c r="M89" t="str">
        <f t="shared" si="1"/>
        <v>Middle Age</v>
      </c>
      <c r="N89" t="s">
        <v>18</v>
      </c>
    </row>
    <row r="90" spans="1:14" x14ac:dyDescent="0.3">
      <c r="A90">
        <v>24119</v>
      </c>
      <c r="B90" t="s">
        <v>38</v>
      </c>
      <c r="C90" t="s">
        <v>36</v>
      </c>
      <c r="D90" s="1">
        <v>30000</v>
      </c>
      <c r="E90">
        <v>0</v>
      </c>
      <c r="F90" t="s">
        <v>19</v>
      </c>
      <c r="G90" t="s">
        <v>20</v>
      </c>
      <c r="H90" t="s">
        <v>18</v>
      </c>
      <c r="I90">
        <v>1</v>
      </c>
      <c r="J90" t="s">
        <v>22</v>
      </c>
      <c r="K90" t="s">
        <v>17</v>
      </c>
      <c r="L90">
        <v>29</v>
      </c>
      <c r="M90" t="str">
        <f t="shared" si="1"/>
        <v>Adolescent</v>
      </c>
      <c r="N90" t="s">
        <v>18</v>
      </c>
    </row>
    <row r="91" spans="1:14" x14ac:dyDescent="0.3">
      <c r="A91">
        <v>25458</v>
      </c>
      <c r="B91" t="s">
        <v>37</v>
      </c>
      <c r="C91" t="s">
        <v>36</v>
      </c>
      <c r="D91" s="1">
        <v>20000</v>
      </c>
      <c r="E91">
        <v>1</v>
      </c>
      <c r="F91" t="s">
        <v>27</v>
      </c>
      <c r="G91" t="s">
        <v>25</v>
      </c>
      <c r="H91" t="s">
        <v>18</v>
      </c>
      <c r="I91">
        <v>1</v>
      </c>
      <c r="J91" t="s">
        <v>26</v>
      </c>
      <c r="K91" t="s">
        <v>17</v>
      </c>
      <c r="L91">
        <v>40</v>
      </c>
      <c r="M91" t="str">
        <f t="shared" si="1"/>
        <v>Middle Age</v>
      </c>
      <c r="N91" t="s">
        <v>15</v>
      </c>
    </row>
    <row r="92" spans="1:14" x14ac:dyDescent="0.3">
      <c r="A92">
        <v>26886</v>
      </c>
      <c r="B92" t="s">
        <v>38</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38</v>
      </c>
      <c r="C93" t="s">
        <v>36</v>
      </c>
      <c r="D93" s="1">
        <v>30000</v>
      </c>
      <c r="E93">
        <v>0</v>
      </c>
      <c r="F93" t="s">
        <v>19</v>
      </c>
      <c r="G93" t="s">
        <v>20</v>
      </c>
      <c r="H93" t="s">
        <v>18</v>
      </c>
      <c r="I93">
        <v>1</v>
      </c>
      <c r="J93" t="s">
        <v>16</v>
      </c>
      <c r="K93" t="s">
        <v>17</v>
      </c>
      <c r="L93">
        <v>30</v>
      </c>
      <c r="M93" t="str">
        <f t="shared" si="1"/>
        <v>Adolescent</v>
      </c>
      <c r="N93" t="s">
        <v>15</v>
      </c>
    </row>
    <row r="94" spans="1:14" x14ac:dyDescent="0.3">
      <c r="A94">
        <v>19562</v>
      </c>
      <c r="B94" t="s">
        <v>38</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38</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38</v>
      </c>
      <c r="C96" t="s">
        <v>39</v>
      </c>
      <c r="D96" s="1">
        <v>30000</v>
      </c>
      <c r="E96">
        <v>3</v>
      </c>
      <c r="F96" t="s">
        <v>27</v>
      </c>
      <c r="G96" t="s">
        <v>14</v>
      </c>
      <c r="H96" t="s">
        <v>15</v>
      </c>
      <c r="I96">
        <v>2</v>
      </c>
      <c r="J96" t="s">
        <v>23</v>
      </c>
      <c r="K96" t="s">
        <v>24</v>
      </c>
      <c r="L96">
        <v>55</v>
      </c>
      <c r="M96" t="str">
        <f t="shared" si="1"/>
        <v>Middle Age</v>
      </c>
      <c r="N96" t="s">
        <v>18</v>
      </c>
    </row>
    <row r="97" spans="1:14" x14ac:dyDescent="0.3">
      <c r="A97">
        <v>17197</v>
      </c>
      <c r="B97" t="s">
        <v>38</v>
      </c>
      <c r="C97" t="s">
        <v>39</v>
      </c>
      <c r="D97" s="1">
        <v>90000</v>
      </c>
      <c r="E97">
        <v>5</v>
      </c>
      <c r="F97" t="s">
        <v>19</v>
      </c>
      <c r="G97" t="s">
        <v>21</v>
      </c>
      <c r="H97" t="s">
        <v>15</v>
      </c>
      <c r="I97">
        <v>2</v>
      </c>
      <c r="J97" t="s">
        <v>46</v>
      </c>
      <c r="K97" t="s">
        <v>17</v>
      </c>
      <c r="L97">
        <v>62</v>
      </c>
      <c r="M97" t="str">
        <f t="shared" si="1"/>
        <v>Old</v>
      </c>
      <c r="N97" t="s">
        <v>18</v>
      </c>
    </row>
    <row r="98" spans="1:14" x14ac:dyDescent="0.3">
      <c r="A98">
        <v>12507</v>
      </c>
      <c r="B98" t="s">
        <v>37</v>
      </c>
      <c r="C98" t="s">
        <v>36</v>
      </c>
      <c r="D98" s="1">
        <v>30000</v>
      </c>
      <c r="E98">
        <v>1</v>
      </c>
      <c r="F98" t="s">
        <v>19</v>
      </c>
      <c r="G98" t="s">
        <v>20</v>
      </c>
      <c r="H98" t="s">
        <v>15</v>
      </c>
      <c r="I98">
        <v>1</v>
      </c>
      <c r="J98" t="s">
        <v>16</v>
      </c>
      <c r="K98" t="s">
        <v>17</v>
      </c>
      <c r="L98">
        <v>43</v>
      </c>
      <c r="M98" t="str">
        <f t="shared" si="1"/>
        <v>Middle Age</v>
      </c>
      <c r="N98" t="s">
        <v>18</v>
      </c>
    </row>
    <row r="99" spans="1:14" x14ac:dyDescent="0.3">
      <c r="A99">
        <v>23940</v>
      </c>
      <c r="B99" t="s">
        <v>37</v>
      </c>
      <c r="C99" t="s">
        <v>36</v>
      </c>
      <c r="D99" s="1">
        <v>40000</v>
      </c>
      <c r="E99">
        <v>1</v>
      </c>
      <c r="F99" t="s">
        <v>13</v>
      </c>
      <c r="G99" t="s">
        <v>14</v>
      </c>
      <c r="H99" t="s">
        <v>15</v>
      </c>
      <c r="I99">
        <v>1</v>
      </c>
      <c r="J99" t="s">
        <v>16</v>
      </c>
      <c r="K99" t="s">
        <v>17</v>
      </c>
      <c r="L99">
        <v>44</v>
      </c>
      <c r="M99" t="str">
        <f t="shared" si="1"/>
        <v>Middle Age</v>
      </c>
      <c r="N99" t="s">
        <v>15</v>
      </c>
    </row>
    <row r="100" spans="1:14" x14ac:dyDescent="0.3">
      <c r="A100">
        <v>19441</v>
      </c>
      <c r="B100" t="s">
        <v>37</v>
      </c>
      <c r="C100" t="s">
        <v>36</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37</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36</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36</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37</v>
      </c>
      <c r="C104" t="s">
        <v>36</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38</v>
      </c>
      <c r="C105" t="s">
        <v>36</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37</v>
      </c>
      <c r="C108" t="s">
        <v>36</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38</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37</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36</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38</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37</v>
      </c>
      <c r="C116" t="s">
        <v>36</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38</v>
      </c>
      <c r="C117" t="s">
        <v>36</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37</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37</v>
      </c>
      <c r="C120" t="s">
        <v>36</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37</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37</v>
      </c>
      <c r="C123" t="s">
        <v>36</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39</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38</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38</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37</v>
      </c>
      <c r="C127" t="s">
        <v>36</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38</v>
      </c>
      <c r="C128" t="s">
        <v>36</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37</v>
      </c>
      <c r="C129" t="s">
        <v>36</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36</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38</v>
      </c>
      <c r="C131" t="s">
        <v>36</v>
      </c>
      <c r="D131" s="1">
        <v>10000</v>
      </c>
      <c r="E131">
        <v>3</v>
      </c>
      <c r="F131" t="s">
        <v>27</v>
      </c>
      <c r="G131" t="s">
        <v>25</v>
      </c>
      <c r="H131" t="s">
        <v>15</v>
      </c>
      <c r="I131">
        <v>1</v>
      </c>
      <c r="J131" t="s">
        <v>16</v>
      </c>
      <c r="K131" t="s">
        <v>17</v>
      </c>
      <c r="L131">
        <v>39</v>
      </c>
      <c r="M131" t="str">
        <f t="shared" ref="M131:M194" si="2">IF(L131&lt;31,"Adolescent",IF(L131&lt;=55,"Middle Age","Old"))</f>
        <v>Middle Age</v>
      </c>
      <c r="N131" t="s">
        <v>15</v>
      </c>
    </row>
    <row r="132" spans="1:14" x14ac:dyDescent="0.3">
      <c r="A132">
        <v>12993</v>
      </c>
      <c r="B132" t="s">
        <v>37</v>
      </c>
      <c r="C132" t="s">
        <v>36</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37</v>
      </c>
      <c r="C133" t="s">
        <v>36</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37</v>
      </c>
      <c r="C134" t="s">
        <v>36</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36</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38</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37</v>
      </c>
      <c r="C137" t="s">
        <v>36</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38</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38</v>
      </c>
      <c r="C139" t="s">
        <v>36</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37</v>
      </c>
      <c r="C140" t="s">
        <v>39</v>
      </c>
      <c r="D140" s="1">
        <v>20000</v>
      </c>
      <c r="E140">
        <v>2</v>
      </c>
      <c r="F140" t="s">
        <v>29</v>
      </c>
      <c r="G140" t="s">
        <v>20</v>
      </c>
      <c r="H140" t="s">
        <v>15</v>
      </c>
      <c r="I140">
        <v>2</v>
      </c>
      <c r="J140" t="s">
        <v>23</v>
      </c>
      <c r="K140" t="s">
        <v>24</v>
      </c>
      <c r="L140">
        <v>55</v>
      </c>
      <c r="M140" t="str">
        <f t="shared" si="2"/>
        <v>Middle Age</v>
      </c>
      <c r="N140" t="s">
        <v>15</v>
      </c>
    </row>
    <row r="141" spans="1:14" x14ac:dyDescent="0.3">
      <c r="A141">
        <v>26547</v>
      </c>
      <c r="B141" t="s">
        <v>38</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38</v>
      </c>
      <c r="C142" t="s">
        <v>36</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37</v>
      </c>
      <c r="C144" t="s">
        <v>36</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37</v>
      </c>
      <c r="C145" t="s">
        <v>39</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38</v>
      </c>
      <c r="C146" t="s">
        <v>36</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37</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37</v>
      </c>
      <c r="C148" t="s">
        <v>36</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37</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37</v>
      </c>
      <c r="C150" t="s">
        <v>36</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38</v>
      </c>
      <c r="C151" t="s">
        <v>36</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37</v>
      </c>
      <c r="C152" t="s">
        <v>36</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36</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38</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37</v>
      </c>
      <c r="C155" t="s">
        <v>36</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36</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37</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38</v>
      </c>
      <c r="C159" t="s">
        <v>36</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38</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37</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37</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36</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37</v>
      </c>
      <c r="C166" t="s">
        <v>36</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37</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38</v>
      </c>
      <c r="C168" t="s">
        <v>36</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36</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38</v>
      </c>
      <c r="C170" t="s">
        <v>36</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37</v>
      </c>
      <c r="C171" t="s">
        <v>36</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37</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37</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37</v>
      </c>
      <c r="C174" t="s">
        <v>36</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37</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38</v>
      </c>
      <c r="C176" t="s">
        <v>36</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38</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38</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37</v>
      </c>
      <c r="C180" t="s">
        <v>36</v>
      </c>
      <c r="D180" s="1">
        <v>160000</v>
      </c>
      <c r="E180">
        <v>4</v>
      </c>
      <c r="F180" t="s">
        <v>19</v>
      </c>
      <c r="G180" t="s">
        <v>21</v>
      </c>
      <c r="H180" t="s">
        <v>18</v>
      </c>
      <c r="I180">
        <v>2</v>
      </c>
      <c r="J180" t="s">
        <v>46</v>
      </c>
      <c r="K180" t="s">
        <v>17</v>
      </c>
      <c r="L180">
        <v>55</v>
      </c>
      <c r="M180" t="str">
        <f t="shared" si="2"/>
        <v>Middle Age</v>
      </c>
      <c r="N180" t="s">
        <v>15</v>
      </c>
    </row>
    <row r="181" spans="1:14" x14ac:dyDescent="0.3">
      <c r="A181">
        <v>12212</v>
      </c>
      <c r="B181" t="s">
        <v>37</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38</v>
      </c>
      <c r="C182" t="s">
        <v>36</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37</v>
      </c>
      <c r="C183" t="s">
        <v>39</v>
      </c>
      <c r="D183" s="1">
        <v>30000</v>
      </c>
      <c r="E183">
        <v>3</v>
      </c>
      <c r="F183" t="s">
        <v>19</v>
      </c>
      <c r="G183" t="s">
        <v>20</v>
      </c>
      <c r="H183" t="s">
        <v>18</v>
      </c>
      <c r="I183">
        <v>2</v>
      </c>
      <c r="J183" t="s">
        <v>26</v>
      </c>
      <c r="K183" t="s">
        <v>24</v>
      </c>
      <c r="L183">
        <v>55</v>
      </c>
      <c r="M183" t="str">
        <f t="shared" si="2"/>
        <v>Middle Age</v>
      </c>
      <c r="N183" t="s">
        <v>15</v>
      </c>
    </row>
    <row r="184" spans="1:14" x14ac:dyDescent="0.3">
      <c r="A184">
        <v>19445</v>
      </c>
      <c r="B184" t="s">
        <v>37</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38</v>
      </c>
      <c r="C185" t="s">
        <v>36</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37</v>
      </c>
      <c r="C186" t="s">
        <v>39</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37</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37</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38</v>
      </c>
      <c r="C189" t="s">
        <v>36</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37</v>
      </c>
      <c r="C190" t="s">
        <v>39</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37</v>
      </c>
      <c r="C191" t="s">
        <v>36</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37</v>
      </c>
      <c r="C192" t="s">
        <v>36</v>
      </c>
      <c r="D192" s="1">
        <v>30000</v>
      </c>
      <c r="E192">
        <v>3</v>
      </c>
      <c r="F192" t="s">
        <v>27</v>
      </c>
      <c r="G192" t="s">
        <v>14</v>
      </c>
      <c r="H192" t="s">
        <v>15</v>
      </c>
      <c r="I192">
        <v>2</v>
      </c>
      <c r="J192" t="s">
        <v>23</v>
      </c>
      <c r="K192" t="s">
        <v>24</v>
      </c>
      <c r="L192">
        <v>55</v>
      </c>
      <c r="M192" t="str">
        <f t="shared" si="2"/>
        <v>Middle Age</v>
      </c>
      <c r="N192" t="s">
        <v>18</v>
      </c>
    </row>
    <row r="193" spans="1:14" x14ac:dyDescent="0.3">
      <c r="A193">
        <v>26944</v>
      </c>
      <c r="B193" t="s">
        <v>38</v>
      </c>
      <c r="C193" t="s">
        <v>36</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39</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37</v>
      </c>
      <c r="C195" t="s">
        <v>39</v>
      </c>
      <c r="D195" s="1">
        <v>70000</v>
      </c>
      <c r="E195">
        <v>5</v>
      </c>
      <c r="F195" t="s">
        <v>13</v>
      </c>
      <c r="G195" t="s">
        <v>21</v>
      </c>
      <c r="H195" t="s">
        <v>15</v>
      </c>
      <c r="I195">
        <v>4</v>
      </c>
      <c r="J195" t="s">
        <v>46</v>
      </c>
      <c r="K195" t="s">
        <v>24</v>
      </c>
      <c r="L195">
        <v>41</v>
      </c>
      <c r="M195" t="str">
        <f t="shared" ref="M195:M258" si="3">IF(L195&lt;31,"Adolescent",IF(L195&lt;=55,"Middle Age","Old"))</f>
        <v>Middle Age</v>
      </c>
      <c r="N195" t="s">
        <v>18</v>
      </c>
    </row>
    <row r="196" spans="1:14" x14ac:dyDescent="0.3">
      <c r="A196">
        <v>17843</v>
      </c>
      <c r="B196" t="s">
        <v>38</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38</v>
      </c>
      <c r="C197" t="s">
        <v>36</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38</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37</v>
      </c>
      <c r="C199" t="s">
        <v>36</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38</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36</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38</v>
      </c>
      <c r="C202" t="s">
        <v>36</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37</v>
      </c>
      <c r="C203" t="s">
        <v>36</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38</v>
      </c>
      <c r="C204" t="s">
        <v>36</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37</v>
      </c>
      <c r="C207" t="s">
        <v>36</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36</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38</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38</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37</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37</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38</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38</v>
      </c>
      <c r="C215" t="s">
        <v>36</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37</v>
      </c>
      <c r="C216" t="s">
        <v>36</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38</v>
      </c>
      <c r="C217" t="s">
        <v>36</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37</v>
      </c>
      <c r="C218" t="s">
        <v>36</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38</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38</v>
      </c>
      <c r="C220" t="s">
        <v>36</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36</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37</v>
      </c>
      <c r="C222" t="s">
        <v>36</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38</v>
      </c>
      <c r="C223" t="s">
        <v>36</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37</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38</v>
      </c>
      <c r="C225" t="s">
        <v>39</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37</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37</v>
      </c>
      <c r="C227" t="s">
        <v>36</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37</v>
      </c>
      <c r="C229" t="s">
        <v>36</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37</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38</v>
      </c>
      <c r="C231" t="s">
        <v>36</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37</v>
      </c>
      <c r="C232" t="s">
        <v>36</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37</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37</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37</v>
      </c>
      <c r="C235" t="s">
        <v>36</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38</v>
      </c>
      <c r="C236" t="s">
        <v>36</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37</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37</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37</v>
      </c>
      <c r="C240" t="s">
        <v>36</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38</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37</v>
      </c>
      <c r="C242" t="s">
        <v>36</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38</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38</v>
      </c>
      <c r="C244" t="s">
        <v>36</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37</v>
      </c>
      <c r="C246" t="s">
        <v>39</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37</v>
      </c>
      <c r="C247" t="s">
        <v>36</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37</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37</v>
      </c>
      <c r="C249" t="s">
        <v>39</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37</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38</v>
      </c>
      <c r="C251" t="s">
        <v>36</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37</v>
      </c>
      <c r="C252" t="s">
        <v>36</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37</v>
      </c>
      <c r="C253" t="s">
        <v>36</v>
      </c>
      <c r="D253" s="1">
        <v>130000</v>
      </c>
      <c r="E253">
        <v>4</v>
      </c>
      <c r="F253" t="s">
        <v>27</v>
      </c>
      <c r="G253" t="s">
        <v>21</v>
      </c>
      <c r="H253" t="s">
        <v>15</v>
      </c>
      <c r="I253">
        <v>3</v>
      </c>
      <c r="J253" t="s">
        <v>16</v>
      </c>
      <c r="K253" t="s">
        <v>17</v>
      </c>
      <c r="L253">
        <v>55</v>
      </c>
      <c r="M253" t="str">
        <f t="shared" si="3"/>
        <v>Middle Age</v>
      </c>
      <c r="N253" t="s">
        <v>18</v>
      </c>
    </row>
    <row r="254" spans="1:14" x14ac:dyDescent="0.3">
      <c r="A254">
        <v>12666</v>
      </c>
      <c r="B254" t="s">
        <v>38</v>
      </c>
      <c r="C254" t="s">
        <v>36</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37</v>
      </c>
      <c r="C255" t="s">
        <v>36</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38</v>
      </c>
      <c r="C256" t="s">
        <v>36</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38</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37</v>
      </c>
      <c r="C258" t="s">
        <v>36</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39</v>
      </c>
      <c r="D259" s="1">
        <v>50000</v>
      </c>
      <c r="E259">
        <v>0</v>
      </c>
      <c r="F259" t="s">
        <v>31</v>
      </c>
      <c r="G259" t="s">
        <v>14</v>
      </c>
      <c r="H259" t="s">
        <v>15</v>
      </c>
      <c r="I259">
        <v>0</v>
      </c>
      <c r="J259" t="s">
        <v>16</v>
      </c>
      <c r="K259" t="s">
        <v>17</v>
      </c>
      <c r="L259">
        <v>36</v>
      </c>
      <c r="M259" t="str">
        <f t="shared" ref="M259:M322" si="4">IF(L259&lt;31,"Adolescent",IF(L259&lt;=55,"Middle Age","Old"))</f>
        <v>Middle Age</v>
      </c>
      <c r="N259" t="s">
        <v>15</v>
      </c>
    </row>
    <row r="260" spans="1:14" x14ac:dyDescent="0.3">
      <c r="A260">
        <v>14193</v>
      </c>
      <c r="B260" t="s">
        <v>38</v>
      </c>
      <c r="C260" t="s">
        <v>39</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37</v>
      </c>
      <c r="C261" t="s">
        <v>36</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37</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37</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39</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37</v>
      </c>
      <c r="C266" t="s">
        <v>36</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38</v>
      </c>
      <c r="C269" t="s">
        <v>36</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37</v>
      </c>
      <c r="C270" t="s">
        <v>36</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37</v>
      </c>
      <c r="C274" t="s">
        <v>36</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37</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37</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37</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37</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37</v>
      </c>
      <c r="C280" t="s">
        <v>36</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38</v>
      </c>
      <c r="C281" t="s">
        <v>36</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36</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36</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37</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36</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37</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38</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37</v>
      </c>
      <c r="C290" t="s">
        <v>36</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37</v>
      </c>
      <c r="C291" t="s">
        <v>36</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38</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37</v>
      </c>
      <c r="C293" t="s">
        <v>36</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37</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38</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36</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38</v>
      </c>
      <c r="C297" t="s">
        <v>39</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38</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37</v>
      </c>
      <c r="C299" t="s">
        <v>36</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37</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37</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38</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38</v>
      </c>
      <c r="C304" t="s">
        <v>36</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37</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37</v>
      </c>
      <c r="C306" t="s">
        <v>36</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36</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37</v>
      </c>
      <c r="C308" t="s">
        <v>36</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37</v>
      </c>
      <c r="C309" t="s">
        <v>36</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37</v>
      </c>
      <c r="C310" t="s">
        <v>36</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37</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37</v>
      </c>
      <c r="C312" t="s">
        <v>36</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37</v>
      </c>
      <c r="C313" t="s">
        <v>36</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37</v>
      </c>
      <c r="C314" t="s">
        <v>36</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38</v>
      </c>
      <c r="C315" t="s">
        <v>36</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37</v>
      </c>
      <c r="C316" t="s">
        <v>36</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36</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37</v>
      </c>
      <c r="C318" t="s">
        <v>36</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37</v>
      </c>
      <c r="C319" t="s">
        <v>36</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37</v>
      </c>
      <c r="C320" t="s">
        <v>36</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37</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37</v>
      </c>
      <c r="C322" t="s">
        <v>36</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39</v>
      </c>
      <c r="D323" s="1">
        <v>160000</v>
      </c>
      <c r="E323">
        <v>0</v>
      </c>
      <c r="F323" t="s">
        <v>31</v>
      </c>
      <c r="G323" t="s">
        <v>28</v>
      </c>
      <c r="H323" t="s">
        <v>18</v>
      </c>
      <c r="I323">
        <v>3</v>
      </c>
      <c r="J323" t="s">
        <v>16</v>
      </c>
      <c r="K323" t="s">
        <v>24</v>
      </c>
      <c r="L323">
        <v>47</v>
      </c>
      <c r="M323" t="str">
        <f t="shared" ref="M323:M386" si="5">IF(L323&lt;31,"Adolescent",IF(L323&lt;=55,"Middle Age","Old"))</f>
        <v>Middle Age</v>
      </c>
      <c r="N323" t="s">
        <v>15</v>
      </c>
    </row>
    <row r="324" spans="1:14" x14ac:dyDescent="0.3">
      <c r="A324">
        <v>16410</v>
      </c>
      <c r="B324" t="s">
        <v>38</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37</v>
      </c>
      <c r="C326" t="s">
        <v>36</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36</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37</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37</v>
      </c>
      <c r="C329" t="s">
        <v>36</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38</v>
      </c>
      <c r="C330" t="s">
        <v>36</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37</v>
      </c>
      <c r="C331" t="s">
        <v>39</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38</v>
      </c>
      <c r="C332" t="s">
        <v>39</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37</v>
      </c>
      <c r="C333" t="s">
        <v>36</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38</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37</v>
      </c>
      <c r="C335" t="s">
        <v>36</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37</v>
      </c>
      <c r="C336" t="s">
        <v>36</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37</v>
      </c>
      <c r="C337" t="s">
        <v>36</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36</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37</v>
      </c>
      <c r="C339" t="s">
        <v>36</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38</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37</v>
      </c>
      <c r="C341" t="s">
        <v>36</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38</v>
      </c>
      <c r="C342" t="s">
        <v>36</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38</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36</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36</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37</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37</v>
      </c>
      <c r="C348" t="s">
        <v>36</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38</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37</v>
      </c>
      <c r="C350" t="s">
        <v>36</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38</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38</v>
      </c>
      <c r="C352" t="s">
        <v>36</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38</v>
      </c>
      <c r="C353" t="s">
        <v>36</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37</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36</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36</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36</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37</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37</v>
      </c>
      <c r="C360" t="s">
        <v>36</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37</v>
      </c>
      <c r="C361" t="s">
        <v>36</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38</v>
      </c>
      <c r="C362" t="s">
        <v>36</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38</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37</v>
      </c>
      <c r="C364" t="s">
        <v>36</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37</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37</v>
      </c>
      <c r="C368" t="s">
        <v>36</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37</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38</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37</v>
      </c>
      <c r="C372" t="s">
        <v>39</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38</v>
      </c>
      <c r="C373" t="s">
        <v>36</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37</v>
      </c>
      <c r="C374" t="s">
        <v>36</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36</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38</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37</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37</v>
      </c>
      <c r="C378" t="s">
        <v>36</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37</v>
      </c>
      <c r="C379" t="s">
        <v>36</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37</v>
      </c>
      <c r="C380" t="s">
        <v>36</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37</v>
      </c>
      <c r="C381" t="s">
        <v>36</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36</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37</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37</v>
      </c>
      <c r="C384" t="s">
        <v>36</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37</v>
      </c>
      <c r="C385" t="s">
        <v>36</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38</v>
      </c>
      <c r="C387" t="s">
        <v>36</v>
      </c>
      <c r="D387" s="1">
        <v>30000</v>
      </c>
      <c r="E387">
        <v>3</v>
      </c>
      <c r="F387" t="s">
        <v>19</v>
      </c>
      <c r="G387" t="s">
        <v>20</v>
      </c>
      <c r="H387" t="s">
        <v>15</v>
      </c>
      <c r="I387">
        <v>0</v>
      </c>
      <c r="J387" t="s">
        <v>16</v>
      </c>
      <c r="K387" t="s">
        <v>17</v>
      </c>
      <c r="L387">
        <v>43</v>
      </c>
      <c r="M387" t="str">
        <f t="shared" ref="M387:M450" si="6">IF(L387&lt;31,"Adolescent",IF(L387&lt;=55,"Middle Age","Old"))</f>
        <v>Middle Age</v>
      </c>
      <c r="N387" t="s">
        <v>18</v>
      </c>
    </row>
    <row r="388" spans="1:14" x14ac:dyDescent="0.3">
      <c r="A388">
        <v>28957</v>
      </c>
      <c r="B388" t="s">
        <v>38</v>
      </c>
      <c r="C388" t="s">
        <v>39</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38</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37</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37</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36</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36</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37</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37</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37</v>
      </c>
      <c r="C397" t="s">
        <v>36</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36</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37</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38</v>
      </c>
      <c r="C400" t="s">
        <v>36</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39</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37</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37</v>
      </c>
      <c r="C404" t="s">
        <v>36</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37</v>
      </c>
      <c r="C405" t="s">
        <v>36</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37</v>
      </c>
      <c r="C406" t="s">
        <v>36</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37</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37</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38</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37</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37</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37</v>
      </c>
      <c r="C413" t="s">
        <v>36</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36</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38</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37</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37</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36</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37</v>
      </c>
      <c r="C420" t="s">
        <v>36</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38</v>
      </c>
      <c r="C421" t="s">
        <v>36</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37</v>
      </c>
      <c r="C422" t="s">
        <v>39</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37</v>
      </c>
      <c r="C423" t="s">
        <v>36</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36</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38</v>
      </c>
      <c r="C425" t="s">
        <v>36</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37</v>
      </c>
      <c r="C427" t="s">
        <v>36</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38</v>
      </c>
      <c r="C428" t="s">
        <v>36</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38</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37</v>
      </c>
      <c r="C430" t="s">
        <v>36</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39</v>
      </c>
      <c r="D432" s="1">
        <v>30000</v>
      </c>
      <c r="E432">
        <v>3</v>
      </c>
      <c r="F432" t="s">
        <v>27</v>
      </c>
      <c r="G432" t="s">
        <v>14</v>
      </c>
      <c r="H432" t="s">
        <v>15</v>
      </c>
      <c r="I432">
        <v>2</v>
      </c>
      <c r="J432" t="s">
        <v>23</v>
      </c>
      <c r="K432" t="s">
        <v>24</v>
      </c>
      <c r="L432">
        <v>55</v>
      </c>
      <c r="M432" t="str">
        <f t="shared" si="6"/>
        <v>Middle Age</v>
      </c>
      <c r="N432" t="s">
        <v>18</v>
      </c>
    </row>
    <row r="433" spans="1:14" x14ac:dyDescent="0.3">
      <c r="A433">
        <v>28488</v>
      </c>
      <c r="B433" t="s">
        <v>38</v>
      </c>
      <c r="C433" t="s">
        <v>36</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37</v>
      </c>
      <c r="C434" t="s">
        <v>39</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38</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37</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37</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38</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37</v>
      </c>
      <c r="C441" t="s">
        <v>36</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38</v>
      </c>
      <c r="C442" t="s">
        <v>36</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37</v>
      </c>
      <c r="C443" t="s">
        <v>36</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36</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37</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36</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37</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37</v>
      </c>
      <c r="C448" t="s">
        <v>39</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37</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37</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37</v>
      </c>
      <c r="C451" t="s">
        <v>39</v>
      </c>
      <c r="D451" s="1">
        <v>40000</v>
      </c>
      <c r="E451">
        <v>1</v>
      </c>
      <c r="F451" t="s">
        <v>13</v>
      </c>
      <c r="G451" t="s">
        <v>14</v>
      </c>
      <c r="H451" t="s">
        <v>15</v>
      </c>
      <c r="I451">
        <v>0</v>
      </c>
      <c r="J451" t="s">
        <v>16</v>
      </c>
      <c r="K451" t="s">
        <v>17</v>
      </c>
      <c r="L451">
        <v>42</v>
      </c>
      <c r="M451" t="str">
        <f t="shared" ref="M451:M514" si="7">IF(L451&lt;31,"Adolescent",IF(L451&lt;=55,"Middle Age","Old"))</f>
        <v>Middle Age</v>
      </c>
      <c r="N451" t="s">
        <v>18</v>
      </c>
    </row>
    <row r="452" spans="1:14" x14ac:dyDescent="0.3">
      <c r="A452">
        <v>16559</v>
      </c>
      <c r="B452" t="s">
        <v>38</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37</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37</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36</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37</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36</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37</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37</v>
      </c>
      <c r="C460" t="s">
        <v>36</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38</v>
      </c>
      <c r="C461" t="s">
        <v>39</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38</v>
      </c>
      <c r="C462" t="s">
        <v>36</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37</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37</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38</v>
      </c>
      <c r="C465" t="s">
        <v>36</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37</v>
      </c>
      <c r="C467" t="s">
        <v>36</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38</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36</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37</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37</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38</v>
      </c>
      <c r="C472" t="s">
        <v>36</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38</v>
      </c>
      <c r="C473" t="s">
        <v>36</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37</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37</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37</v>
      </c>
      <c r="C477" t="s">
        <v>36</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38</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37</v>
      </c>
      <c r="C479" t="s">
        <v>36</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37</v>
      </c>
      <c r="C480" t="s">
        <v>36</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37</v>
      </c>
      <c r="C481" t="s">
        <v>36</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37</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38</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36</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37</v>
      </c>
      <c r="C485" t="s">
        <v>36</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38</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36</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37</v>
      </c>
      <c r="C488" t="s">
        <v>39</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37</v>
      </c>
      <c r="C489" t="s">
        <v>36</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37</v>
      </c>
      <c r="C491" t="s">
        <v>36</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37</v>
      </c>
      <c r="C492" t="s">
        <v>36</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37</v>
      </c>
      <c r="C493" t="s">
        <v>36</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36</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37</v>
      </c>
      <c r="C496" t="s">
        <v>36</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37</v>
      </c>
      <c r="C497" t="s">
        <v>36</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38</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37</v>
      </c>
      <c r="C500" t="s">
        <v>36</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38</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37</v>
      </c>
      <c r="C502" t="s">
        <v>36</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37</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37</v>
      </c>
      <c r="C504" t="s">
        <v>36</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37</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37</v>
      </c>
      <c r="C506" t="s">
        <v>36</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37</v>
      </c>
      <c r="C507" t="s">
        <v>36</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37</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37</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37</v>
      </c>
      <c r="C510" t="s">
        <v>36</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37</v>
      </c>
      <c r="C511" t="s">
        <v>36</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36</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36</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37</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38</v>
      </c>
      <c r="C515" t="s">
        <v>39</v>
      </c>
      <c r="D515" s="1">
        <v>60000</v>
      </c>
      <c r="E515">
        <v>4</v>
      </c>
      <c r="F515" t="s">
        <v>31</v>
      </c>
      <c r="G515" t="s">
        <v>28</v>
      </c>
      <c r="H515" t="s">
        <v>15</v>
      </c>
      <c r="I515">
        <v>2</v>
      </c>
      <c r="J515" t="s">
        <v>46</v>
      </c>
      <c r="K515" t="s">
        <v>32</v>
      </c>
      <c r="L515">
        <v>61</v>
      </c>
      <c r="M515" t="str">
        <f t="shared" ref="M515:M578" si="8">IF(L515&lt;31,"Adolescent",IF(L515&lt;=55,"Middle Age","Old"))</f>
        <v>Old</v>
      </c>
      <c r="N515" t="s">
        <v>15</v>
      </c>
    </row>
    <row r="516" spans="1:14" x14ac:dyDescent="0.3">
      <c r="A516">
        <v>19399</v>
      </c>
      <c r="B516" t="s">
        <v>38</v>
      </c>
      <c r="C516" t="s">
        <v>36</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37</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37</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38</v>
      </c>
      <c r="C519" t="s">
        <v>36</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37</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37</v>
      </c>
      <c r="C521" t="s">
        <v>36</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38</v>
      </c>
      <c r="C522" t="s">
        <v>36</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38</v>
      </c>
      <c r="C523" t="s">
        <v>36</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38</v>
      </c>
      <c r="C524" t="s">
        <v>36</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37</v>
      </c>
      <c r="C525" t="s">
        <v>36</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38</v>
      </c>
      <c r="C527" t="s">
        <v>36</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37</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37</v>
      </c>
      <c r="C529" t="s">
        <v>36</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37</v>
      </c>
      <c r="C531" t="s">
        <v>36</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37</v>
      </c>
      <c r="C532" t="s">
        <v>36</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38</v>
      </c>
      <c r="C533" t="s">
        <v>36</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38</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37</v>
      </c>
      <c r="C535" t="s">
        <v>36</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37</v>
      </c>
      <c r="C536" t="s">
        <v>36</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37</v>
      </c>
      <c r="C537" t="s">
        <v>36</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38</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37</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37</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38</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37</v>
      </c>
      <c r="C543" t="s">
        <v>36</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37</v>
      </c>
      <c r="C544" t="s">
        <v>36</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37</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36</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36</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37</v>
      </c>
      <c r="C548" t="s">
        <v>36</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37</v>
      </c>
      <c r="C549" t="s">
        <v>36</v>
      </c>
      <c r="D549" s="1">
        <v>60000</v>
      </c>
      <c r="E549">
        <v>2</v>
      </c>
      <c r="F549" t="s">
        <v>27</v>
      </c>
      <c r="G549" t="s">
        <v>21</v>
      </c>
      <c r="H549" t="s">
        <v>15</v>
      </c>
      <c r="I549">
        <v>2</v>
      </c>
      <c r="J549" t="s">
        <v>22</v>
      </c>
      <c r="K549" t="s">
        <v>32</v>
      </c>
      <c r="L549">
        <v>55</v>
      </c>
      <c r="M549" t="str">
        <f t="shared" si="8"/>
        <v>Middle Age</v>
      </c>
      <c r="N549" t="s">
        <v>15</v>
      </c>
    </row>
    <row r="550" spans="1:14" x14ac:dyDescent="0.3">
      <c r="A550">
        <v>18674</v>
      </c>
      <c r="B550" t="s">
        <v>38</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37</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37</v>
      </c>
      <c r="C553" t="s">
        <v>39</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38</v>
      </c>
      <c r="C554" t="s">
        <v>36</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37</v>
      </c>
      <c r="C555" t="s">
        <v>36</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37</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36</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37</v>
      </c>
      <c r="C558" t="s">
        <v>36</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37</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37</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38</v>
      </c>
      <c r="C561" t="s">
        <v>39</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37</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37</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37</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38</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38</v>
      </c>
      <c r="C566" t="s">
        <v>36</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37</v>
      </c>
      <c r="C567" t="s">
        <v>36</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37</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37</v>
      </c>
      <c r="C569" t="s">
        <v>36</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37</v>
      </c>
      <c r="C570" t="s">
        <v>36</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38</v>
      </c>
      <c r="C571" t="s">
        <v>36</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37</v>
      </c>
      <c r="C572" t="s">
        <v>36</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37</v>
      </c>
      <c r="C573" t="s">
        <v>36</v>
      </c>
      <c r="D573" s="1">
        <v>40000</v>
      </c>
      <c r="E573">
        <v>2</v>
      </c>
      <c r="F573" t="s">
        <v>29</v>
      </c>
      <c r="G573" t="s">
        <v>14</v>
      </c>
      <c r="H573" t="s">
        <v>15</v>
      </c>
      <c r="I573">
        <v>2</v>
      </c>
      <c r="J573" t="s">
        <v>22</v>
      </c>
      <c r="K573" t="s">
        <v>32</v>
      </c>
      <c r="L573">
        <v>55</v>
      </c>
      <c r="M573" t="str">
        <f t="shared" si="8"/>
        <v>Middle Age</v>
      </c>
      <c r="N573" t="s">
        <v>18</v>
      </c>
    </row>
    <row r="574" spans="1:14" x14ac:dyDescent="0.3">
      <c r="A574">
        <v>23549</v>
      </c>
      <c r="B574" t="s">
        <v>38</v>
      </c>
      <c r="C574" t="s">
        <v>36</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37</v>
      </c>
      <c r="C575" t="s">
        <v>36</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38</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36</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38</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37</v>
      </c>
      <c r="C579" t="s">
        <v>36</v>
      </c>
      <c r="D579" s="1">
        <v>120000</v>
      </c>
      <c r="E579">
        <v>1</v>
      </c>
      <c r="F579" t="s">
        <v>13</v>
      </c>
      <c r="G579" t="s">
        <v>28</v>
      </c>
      <c r="H579" t="s">
        <v>15</v>
      </c>
      <c r="I579">
        <v>4</v>
      </c>
      <c r="J579" t="s">
        <v>16</v>
      </c>
      <c r="K579" t="s">
        <v>32</v>
      </c>
      <c r="L579">
        <v>38</v>
      </c>
      <c r="M579" t="str">
        <f t="shared" ref="M579:M642" si="9">IF(L579&lt;31,"Adolescent",IF(L579&lt;=55,"Middle Age","Old"))</f>
        <v>Middle Age</v>
      </c>
      <c r="N579" t="s">
        <v>18</v>
      </c>
    </row>
    <row r="580" spans="1:14" x14ac:dyDescent="0.3">
      <c r="A580">
        <v>15313</v>
      </c>
      <c r="B580" t="s">
        <v>37</v>
      </c>
      <c r="C580" t="s">
        <v>36</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37</v>
      </c>
      <c r="C582" t="s">
        <v>39</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37</v>
      </c>
      <c r="C583" t="s">
        <v>36</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37</v>
      </c>
      <c r="C584" t="s">
        <v>36</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37</v>
      </c>
      <c r="C585" t="s">
        <v>36</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38</v>
      </c>
      <c r="C586" t="s">
        <v>36</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38</v>
      </c>
      <c r="C587" t="s">
        <v>36</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37</v>
      </c>
      <c r="C588" t="s">
        <v>36</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37</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37</v>
      </c>
      <c r="C590" t="s">
        <v>39</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38</v>
      </c>
      <c r="C591" t="s">
        <v>36</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37</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37</v>
      </c>
      <c r="C593" t="s">
        <v>36</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38</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37</v>
      </c>
      <c r="C596" t="s">
        <v>36</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38</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37</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36</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37</v>
      </c>
      <c r="C600" t="s">
        <v>36</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37</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37</v>
      </c>
      <c r="C602" t="s">
        <v>36</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36</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36</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37</v>
      </c>
      <c r="C605" t="s">
        <v>36</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37</v>
      </c>
      <c r="C606" t="s">
        <v>36</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38</v>
      </c>
      <c r="C607" t="s">
        <v>36</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36</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38</v>
      </c>
      <c r="C609" t="s">
        <v>39</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37</v>
      </c>
      <c r="C610" t="s">
        <v>36</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37</v>
      </c>
      <c r="C611" t="s">
        <v>36</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37</v>
      </c>
      <c r="C612" t="s">
        <v>36</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37</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38</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38</v>
      </c>
      <c r="C615" t="s">
        <v>36</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37</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38</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37</v>
      </c>
      <c r="C619" t="s">
        <v>36</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38</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37</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37</v>
      </c>
      <c r="C623" t="s">
        <v>36</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37</v>
      </c>
      <c r="C624" t="s">
        <v>36</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37</v>
      </c>
      <c r="C625" t="s">
        <v>39</v>
      </c>
      <c r="D625" s="1">
        <v>70000</v>
      </c>
      <c r="E625">
        <v>4</v>
      </c>
      <c r="F625" t="s">
        <v>19</v>
      </c>
      <c r="G625" t="s">
        <v>21</v>
      </c>
      <c r="H625" t="s">
        <v>15</v>
      </c>
      <c r="I625">
        <v>1</v>
      </c>
      <c r="J625" t="s">
        <v>26</v>
      </c>
      <c r="K625" t="s">
        <v>32</v>
      </c>
      <c r="L625">
        <v>55</v>
      </c>
      <c r="M625" t="str">
        <f t="shared" si="9"/>
        <v>Middle Age</v>
      </c>
      <c r="N625" t="s">
        <v>18</v>
      </c>
    </row>
    <row r="626" spans="1:14" x14ac:dyDescent="0.3">
      <c r="A626">
        <v>25943</v>
      </c>
      <c r="B626" t="s">
        <v>38</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37</v>
      </c>
      <c r="C627" t="s">
        <v>36</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37</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37</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36</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37</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37</v>
      </c>
      <c r="C632" t="s">
        <v>36</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38</v>
      </c>
      <c r="C633" t="s">
        <v>36</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37</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37</v>
      </c>
      <c r="C636" t="s">
        <v>36</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38</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38</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36</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38</v>
      </c>
      <c r="C640" t="s">
        <v>36</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37</v>
      </c>
      <c r="C641" t="s">
        <v>36</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37</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37</v>
      </c>
      <c r="C643" t="s">
        <v>36</v>
      </c>
      <c r="D643" s="1">
        <v>50000</v>
      </c>
      <c r="E643">
        <v>4</v>
      </c>
      <c r="F643" t="s">
        <v>13</v>
      </c>
      <c r="G643" t="s">
        <v>28</v>
      </c>
      <c r="H643" t="s">
        <v>15</v>
      </c>
      <c r="I643">
        <v>2</v>
      </c>
      <c r="J643" t="s">
        <v>46</v>
      </c>
      <c r="K643" t="s">
        <v>32</v>
      </c>
      <c r="L643">
        <v>64</v>
      </c>
      <c r="M643" t="str">
        <f t="shared" ref="M643:M706" si="10">IF(L643&lt;31,"Adolescent",IF(L643&lt;=55,"Middle Age","Old"))</f>
        <v>Old</v>
      </c>
      <c r="N643" t="s">
        <v>18</v>
      </c>
    </row>
    <row r="644" spans="1:14" x14ac:dyDescent="0.3">
      <c r="A644">
        <v>21741</v>
      </c>
      <c r="B644" t="s">
        <v>37</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37</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37</v>
      </c>
      <c r="C646" t="s">
        <v>39</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38</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38</v>
      </c>
      <c r="C649" t="s">
        <v>36</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38</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39</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38</v>
      </c>
      <c r="C653" t="s">
        <v>36</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37</v>
      </c>
      <c r="C654" t="s">
        <v>36</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36</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36</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37</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37</v>
      </c>
      <c r="C658" t="s">
        <v>36</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37</v>
      </c>
      <c r="C659" t="s">
        <v>36</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38</v>
      </c>
      <c r="C660" t="s">
        <v>36</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39</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37</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36</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38</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37</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37</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37</v>
      </c>
      <c r="C667" t="s">
        <v>36</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37</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37</v>
      </c>
      <c r="C669" t="s">
        <v>39</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37</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37</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37</v>
      </c>
      <c r="C672" t="s">
        <v>36</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38</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38</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37</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37</v>
      </c>
      <c r="C677" t="s">
        <v>36</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37</v>
      </c>
      <c r="C678" t="s">
        <v>36</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37</v>
      </c>
      <c r="C679" t="s">
        <v>36</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37</v>
      </c>
      <c r="C680" t="s">
        <v>36</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37</v>
      </c>
      <c r="C681" t="s">
        <v>36</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37</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37</v>
      </c>
      <c r="C684" t="s">
        <v>36</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37</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38</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38</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37</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36</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38</v>
      </c>
      <c r="C690" t="s">
        <v>36</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37</v>
      </c>
      <c r="C691" t="s">
        <v>36</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38</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37</v>
      </c>
      <c r="C693" t="s">
        <v>36</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37</v>
      </c>
      <c r="C694" t="s">
        <v>36</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38</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37</v>
      </c>
      <c r="C697" t="s">
        <v>36</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38</v>
      </c>
      <c r="C698" t="s">
        <v>36</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37</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37</v>
      </c>
      <c r="C700" t="s">
        <v>36</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38</v>
      </c>
      <c r="C701" t="s">
        <v>36</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37</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38</v>
      </c>
      <c r="C703" t="s">
        <v>36</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37</v>
      </c>
      <c r="C704" t="s">
        <v>36</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37</v>
      </c>
      <c r="C707" t="s">
        <v>39</v>
      </c>
      <c r="D707" s="1">
        <v>70000</v>
      </c>
      <c r="E707">
        <v>4</v>
      </c>
      <c r="F707" t="s">
        <v>13</v>
      </c>
      <c r="G707" t="s">
        <v>28</v>
      </c>
      <c r="H707" t="s">
        <v>15</v>
      </c>
      <c r="I707">
        <v>1</v>
      </c>
      <c r="J707" t="s">
        <v>46</v>
      </c>
      <c r="K707" t="s">
        <v>32</v>
      </c>
      <c r="L707">
        <v>59</v>
      </c>
      <c r="M707" t="str">
        <f t="shared" ref="M707:M770" si="11">IF(L707&lt;31,"Adolescent",IF(L707&lt;=55,"Middle Age","Old"))</f>
        <v>Old</v>
      </c>
      <c r="N707" t="s">
        <v>18</v>
      </c>
    </row>
    <row r="708" spans="1:14" x14ac:dyDescent="0.3">
      <c r="A708">
        <v>20296</v>
      </c>
      <c r="B708" t="s">
        <v>38</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37</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37</v>
      </c>
      <c r="C710" t="s">
        <v>36</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38</v>
      </c>
      <c r="C711" t="s">
        <v>39</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37</v>
      </c>
      <c r="C712" t="s">
        <v>36</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37</v>
      </c>
      <c r="C713" t="s">
        <v>39</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37</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38</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37</v>
      </c>
      <c r="C716" t="s">
        <v>36</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37</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38</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36</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37</v>
      </c>
      <c r="C720" t="s">
        <v>36</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37</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38</v>
      </c>
      <c r="C723" t="s">
        <v>36</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38</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37</v>
      </c>
      <c r="C726" t="s">
        <v>36</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37</v>
      </c>
      <c r="C727" t="s">
        <v>36</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37</v>
      </c>
      <c r="C728" t="s">
        <v>36</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37</v>
      </c>
      <c r="C729" t="s">
        <v>36</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37</v>
      </c>
      <c r="C730" t="s">
        <v>36</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37</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38</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37</v>
      </c>
      <c r="C733" t="s">
        <v>36</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38</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36</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38</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37</v>
      </c>
      <c r="C738" t="s">
        <v>36</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37</v>
      </c>
      <c r="C739" t="s">
        <v>36</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37</v>
      </c>
      <c r="C741" t="s">
        <v>39</v>
      </c>
      <c r="D741" s="1">
        <v>60000</v>
      </c>
      <c r="E741">
        <v>2</v>
      </c>
      <c r="F741" t="s">
        <v>19</v>
      </c>
      <c r="G741" t="s">
        <v>21</v>
      </c>
      <c r="H741" t="s">
        <v>15</v>
      </c>
      <c r="I741">
        <v>1</v>
      </c>
      <c r="J741" t="s">
        <v>46</v>
      </c>
      <c r="K741" t="s">
        <v>32</v>
      </c>
      <c r="L741">
        <v>55</v>
      </c>
      <c r="M741" t="str">
        <f t="shared" si="11"/>
        <v>Middle Age</v>
      </c>
      <c r="N741" t="s">
        <v>18</v>
      </c>
    </row>
    <row r="742" spans="1:14" x14ac:dyDescent="0.3">
      <c r="A742">
        <v>17657</v>
      </c>
      <c r="B742" t="s">
        <v>37</v>
      </c>
      <c r="C742" t="s">
        <v>36</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37</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38</v>
      </c>
      <c r="C744" t="s">
        <v>36</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37</v>
      </c>
      <c r="C745" t="s">
        <v>36</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37</v>
      </c>
      <c r="C746" t="s">
        <v>39</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37</v>
      </c>
      <c r="C747" t="s">
        <v>36</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37</v>
      </c>
      <c r="C748" t="s">
        <v>39</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38</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37</v>
      </c>
      <c r="C750" t="s">
        <v>36</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37</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37</v>
      </c>
      <c r="C752" t="s">
        <v>36</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37</v>
      </c>
      <c r="C753" t="s">
        <v>36</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37</v>
      </c>
      <c r="C754" t="s">
        <v>36</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37</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37</v>
      </c>
      <c r="C757" t="s">
        <v>36</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37</v>
      </c>
      <c r="C758" t="s">
        <v>36</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36</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38</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36</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37</v>
      </c>
      <c r="C763" t="s">
        <v>39</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38</v>
      </c>
      <c r="C764" t="s">
        <v>36</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37</v>
      </c>
      <c r="C765" t="s">
        <v>36</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37</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38</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37</v>
      </c>
      <c r="C768" t="s">
        <v>36</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37</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37</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37</v>
      </c>
      <c r="C771" t="s">
        <v>39</v>
      </c>
      <c r="D771" s="1">
        <v>100000</v>
      </c>
      <c r="E771">
        <v>4</v>
      </c>
      <c r="F771" t="s">
        <v>13</v>
      </c>
      <c r="G771" t="s">
        <v>28</v>
      </c>
      <c r="H771" t="s">
        <v>15</v>
      </c>
      <c r="I771">
        <v>4</v>
      </c>
      <c r="J771" t="s">
        <v>16</v>
      </c>
      <c r="K771" t="s">
        <v>32</v>
      </c>
      <c r="L771">
        <v>40</v>
      </c>
      <c r="M771" t="str">
        <f t="shared" ref="M771:M834" si="12">IF(L771&lt;31,"Adolescent",IF(L771&lt;=55,"Middle Age","Old"))</f>
        <v>Middle Age</v>
      </c>
      <c r="N771" t="s">
        <v>18</v>
      </c>
    </row>
    <row r="772" spans="1:14" x14ac:dyDescent="0.3">
      <c r="A772">
        <v>17699</v>
      </c>
      <c r="B772" t="s">
        <v>37</v>
      </c>
      <c r="C772" t="s">
        <v>36</v>
      </c>
      <c r="D772" s="1">
        <v>60000</v>
      </c>
      <c r="E772">
        <v>1</v>
      </c>
      <c r="F772" t="s">
        <v>31</v>
      </c>
      <c r="G772" t="s">
        <v>14</v>
      </c>
      <c r="H772" t="s">
        <v>18</v>
      </c>
      <c r="I772">
        <v>0</v>
      </c>
      <c r="J772" t="s">
        <v>16</v>
      </c>
      <c r="K772" t="s">
        <v>32</v>
      </c>
      <c r="L772">
        <v>55</v>
      </c>
      <c r="M772" t="str">
        <f t="shared" si="12"/>
        <v>Middle Age</v>
      </c>
      <c r="N772" t="s">
        <v>18</v>
      </c>
    </row>
    <row r="773" spans="1:14" x14ac:dyDescent="0.3">
      <c r="A773">
        <v>14657</v>
      </c>
      <c r="B773" t="s">
        <v>37</v>
      </c>
      <c r="C773" t="s">
        <v>36</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36</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37</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37</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37</v>
      </c>
      <c r="C777" t="s">
        <v>36</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38</v>
      </c>
      <c r="C778" t="s">
        <v>36</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38</v>
      </c>
      <c r="C779" t="s">
        <v>36</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37</v>
      </c>
      <c r="C780" t="s">
        <v>36</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37</v>
      </c>
      <c r="C781" t="s">
        <v>36</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37</v>
      </c>
      <c r="C782" t="s">
        <v>39</v>
      </c>
      <c r="D782" s="1">
        <v>60000</v>
      </c>
      <c r="E782">
        <v>2</v>
      </c>
      <c r="F782" t="s">
        <v>19</v>
      </c>
      <c r="G782" t="s">
        <v>21</v>
      </c>
      <c r="H782" t="s">
        <v>15</v>
      </c>
      <c r="I782">
        <v>1</v>
      </c>
      <c r="J782" t="s">
        <v>46</v>
      </c>
      <c r="K782" t="s">
        <v>32</v>
      </c>
      <c r="L782">
        <v>55</v>
      </c>
      <c r="M782" t="str">
        <f t="shared" si="12"/>
        <v>Middle Age</v>
      </c>
      <c r="N782" t="s">
        <v>18</v>
      </c>
    </row>
    <row r="783" spans="1:14" x14ac:dyDescent="0.3">
      <c r="A783">
        <v>19660</v>
      </c>
      <c r="B783" t="s">
        <v>37</v>
      </c>
      <c r="C783" t="s">
        <v>36</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38</v>
      </c>
      <c r="C784" t="s">
        <v>36</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37</v>
      </c>
      <c r="C785" t="s">
        <v>36</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38</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38</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37</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38</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37</v>
      </c>
      <c r="C791" t="s">
        <v>36</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38</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37</v>
      </c>
      <c r="C793" t="s">
        <v>36</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38</v>
      </c>
      <c r="C794" t="s">
        <v>36</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37</v>
      </c>
      <c r="C795" t="s">
        <v>36</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37</v>
      </c>
      <c r="C796" t="s">
        <v>36</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38</v>
      </c>
      <c r="C797" t="s">
        <v>36</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37</v>
      </c>
      <c r="C798" t="s">
        <v>36</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36</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38</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38</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38</v>
      </c>
      <c r="C802" t="s">
        <v>36</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37</v>
      </c>
      <c r="C803" t="s">
        <v>36</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37</v>
      </c>
      <c r="C804" t="s">
        <v>36</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37</v>
      </c>
      <c r="C805" t="s">
        <v>36</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37</v>
      </c>
      <c r="C806" t="s">
        <v>36</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38</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37</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38</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36</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37</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38</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37</v>
      </c>
      <c r="C813" t="s">
        <v>36</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39</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37</v>
      </c>
      <c r="C815" t="s">
        <v>39</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38</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37</v>
      </c>
      <c r="C817" t="s">
        <v>36</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37</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37</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37</v>
      </c>
      <c r="C820" t="s">
        <v>36</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38</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38</v>
      </c>
      <c r="C822" t="s">
        <v>36</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37</v>
      </c>
      <c r="C823" t="s">
        <v>36</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37</v>
      </c>
      <c r="C824" t="s">
        <v>36</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38</v>
      </c>
      <c r="C826" t="s">
        <v>36</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37</v>
      </c>
      <c r="C827" t="s">
        <v>36</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37</v>
      </c>
      <c r="C828" t="s">
        <v>36</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38</v>
      </c>
      <c r="C831" t="s">
        <v>36</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37</v>
      </c>
      <c r="C832" t="s">
        <v>36</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37</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37</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39</v>
      </c>
      <c r="D835" s="1">
        <v>70000</v>
      </c>
      <c r="E835">
        <v>0</v>
      </c>
      <c r="F835" t="s">
        <v>13</v>
      </c>
      <c r="G835" t="s">
        <v>21</v>
      </c>
      <c r="H835" t="s">
        <v>18</v>
      </c>
      <c r="I835">
        <v>1</v>
      </c>
      <c r="J835" t="s">
        <v>16</v>
      </c>
      <c r="K835" t="s">
        <v>32</v>
      </c>
      <c r="L835">
        <v>37</v>
      </c>
      <c r="M835" t="str">
        <f t="shared" ref="M835:M898" si="13">IF(L835&lt;31,"Adolescent",IF(L835&lt;=55,"Middle Age","Old"))</f>
        <v>Middle Age</v>
      </c>
      <c r="N835" t="s">
        <v>15</v>
      </c>
    </row>
    <row r="836" spans="1:14" x14ac:dyDescent="0.3">
      <c r="A836">
        <v>19889</v>
      </c>
      <c r="B836" t="s">
        <v>38</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38</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37</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37</v>
      </c>
      <c r="C839" t="s">
        <v>36</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38</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37</v>
      </c>
      <c r="C842" t="s">
        <v>36</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37</v>
      </c>
      <c r="C843" t="s">
        <v>36</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37</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36</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37</v>
      </c>
      <c r="C846" t="s">
        <v>39</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38</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37</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38</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38</v>
      </c>
      <c r="C850" t="s">
        <v>36</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37</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38</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37</v>
      </c>
      <c r="C853" t="s">
        <v>36</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36</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36</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37</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38</v>
      </c>
      <c r="C858" t="s">
        <v>36</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37</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37</v>
      </c>
      <c r="C860" t="s">
        <v>36</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37</v>
      </c>
      <c r="C861" t="s">
        <v>36</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36</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37</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37</v>
      </c>
      <c r="C864" t="s">
        <v>36</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36</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38</v>
      </c>
      <c r="C866" t="s">
        <v>36</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38</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37</v>
      </c>
      <c r="C868" t="s">
        <v>36</v>
      </c>
      <c r="D868" s="1">
        <v>60000</v>
      </c>
      <c r="E868">
        <v>2</v>
      </c>
      <c r="F868" t="s">
        <v>27</v>
      </c>
      <c r="G868" t="s">
        <v>21</v>
      </c>
      <c r="H868" t="s">
        <v>15</v>
      </c>
      <c r="I868">
        <v>2</v>
      </c>
      <c r="J868" t="s">
        <v>46</v>
      </c>
      <c r="K868" t="s">
        <v>32</v>
      </c>
      <c r="L868">
        <v>55</v>
      </c>
      <c r="M868" t="str">
        <f t="shared" si="13"/>
        <v>Middle Age</v>
      </c>
      <c r="N868" t="s">
        <v>18</v>
      </c>
    </row>
    <row r="869" spans="1:14" x14ac:dyDescent="0.3">
      <c r="A869">
        <v>26693</v>
      </c>
      <c r="B869" t="s">
        <v>37</v>
      </c>
      <c r="C869" t="s">
        <v>36</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36</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38</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37</v>
      </c>
      <c r="C872" t="s">
        <v>36</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37</v>
      </c>
      <c r="C873" t="s">
        <v>36</v>
      </c>
      <c r="D873" s="1">
        <v>60000</v>
      </c>
      <c r="E873">
        <v>2</v>
      </c>
      <c r="F873" t="s">
        <v>27</v>
      </c>
      <c r="G873" t="s">
        <v>21</v>
      </c>
      <c r="H873" t="s">
        <v>15</v>
      </c>
      <c r="I873">
        <v>2</v>
      </c>
      <c r="J873" t="s">
        <v>46</v>
      </c>
      <c r="K873" t="s">
        <v>32</v>
      </c>
      <c r="L873">
        <v>55</v>
      </c>
      <c r="M873" t="str">
        <f t="shared" si="13"/>
        <v>Middle Age</v>
      </c>
      <c r="N873" t="s">
        <v>18</v>
      </c>
    </row>
    <row r="874" spans="1:14" x14ac:dyDescent="0.3">
      <c r="A874">
        <v>22118</v>
      </c>
      <c r="B874" t="s">
        <v>38</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37</v>
      </c>
      <c r="C875" t="s">
        <v>36</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37</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36</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37</v>
      </c>
      <c r="C879" t="s">
        <v>36</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37</v>
      </c>
      <c r="C880" t="s">
        <v>36</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37</v>
      </c>
      <c r="C881" t="s">
        <v>36</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37</v>
      </c>
      <c r="C882" t="s">
        <v>36</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37</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37</v>
      </c>
      <c r="C884" t="s">
        <v>36</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37</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37</v>
      </c>
      <c r="C886" t="s">
        <v>36</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37</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37</v>
      </c>
      <c r="C888" t="s">
        <v>36</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37</v>
      </c>
      <c r="C889" t="s">
        <v>36</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37</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37</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38</v>
      </c>
      <c r="C893" t="s">
        <v>36</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38</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37</v>
      </c>
      <c r="C895" t="s">
        <v>36</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37</v>
      </c>
      <c r="C896" t="s">
        <v>36</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37</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37</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37</v>
      </c>
      <c r="C899" t="s">
        <v>36</v>
      </c>
      <c r="D899" s="1">
        <v>30000</v>
      </c>
      <c r="E899">
        <v>0</v>
      </c>
      <c r="F899" t="s">
        <v>29</v>
      </c>
      <c r="G899" t="s">
        <v>20</v>
      </c>
      <c r="H899" t="s">
        <v>18</v>
      </c>
      <c r="I899">
        <v>2</v>
      </c>
      <c r="J899" t="s">
        <v>16</v>
      </c>
      <c r="K899" t="s">
        <v>32</v>
      </c>
      <c r="L899">
        <v>28</v>
      </c>
      <c r="M899" t="str">
        <f t="shared" ref="M899:M962" si="14">IF(L899&lt;31,"Adolescent",IF(L899&lt;=55,"Middle Age","Old"))</f>
        <v>Adolescent</v>
      </c>
      <c r="N899" t="s">
        <v>18</v>
      </c>
    </row>
    <row r="900" spans="1:14" x14ac:dyDescent="0.3">
      <c r="A900">
        <v>18066</v>
      </c>
      <c r="B900" t="s">
        <v>38</v>
      </c>
      <c r="C900" t="s">
        <v>36</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37</v>
      </c>
      <c r="C901" t="s">
        <v>39</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37</v>
      </c>
      <c r="C902" t="s">
        <v>36</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36</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38</v>
      </c>
      <c r="C905" t="s">
        <v>36</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38</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36</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37</v>
      </c>
      <c r="C908" t="s">
        <v>36</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37</v>
      </c>
      <c r="C909" t="s">
        <v>36</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38</v>
      </c>
      <c r="C910" t="s">
        <v>36</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37</v>
      </c>
      <c r="C911" t="s">
        <v>36</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37</v>
      </c>
      <c r="C912" t="s">
        <v>36</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37</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37</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36</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38</v>
      </c>
      <c r="C916" t="s">
        <v>36</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37</v>
      </c>
      <c r="C917" t="s">
        <v>36</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38</v>
      </c>
      <c r="C918" t="s">
        <v>36</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36</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37</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37</v>
      </c>
      <c r="C921" t="s">
        <v>39</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37</v>
      </c>
      <c r="C922" t="s">
        <v>36</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38</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37</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36</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38</v>
      </c>
      <c r="C926" t="s">
        <v>36</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38</v>
      </c>
      <c r="C928" t="s">
        <v>39</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37</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37</v>
      </c>
      <c r="C930" t="s">
        <v>36</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37</v>
      </c>
      <c r="C931" t="s">
        <v>36</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37</v>
      </c>
      <c r="C932" t="s">
        <v>36</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37</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38</v>
      </c>
      <c r="C935" t="s">
        <v>36</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37</v>
      </c>
      <c r="C936" t="s">
        <v>36</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37</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37</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37</v>
      </c>
      <c r="C939" t="s">
        <v>36</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37</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38</v>
      </c>
      <c r="C941" t="s">
        <v>36</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38</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37</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37</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37</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37</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38</v>
      </c>
      <c r="C947" t="s">
        <v>36</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37</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38</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37</v>
      </c>
      <c r="C951" t="s">
        <v>36</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38</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37</v>
      </c>
      <c r="C953" t="s">
        <v>36</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37</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38</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37</v>
      </c>
      <c r="C956" t="s">
        <v>36</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37</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37</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37</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37</v>
      </c>
      <c r="C960" t="s">
        <v>36</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37</v>
      </c>
      <c r="C961" t="s">
        <v>36</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36</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37</v>
      </c>
      <c r="C963" t="s">
        <v>39</v>
      </c>
      <c r="D963" s="1">
        <v>120000</v>
      </c>
      <c r="E963">
        <v>2</v>
      </c>
      <c r="F963" t="s">
        <v>13</v>
      </c>
      <c r="G963" t="s">
        <v>28</v>
      </c>
      <c r="H963" t="s">
        <v>15</v>
      </c>
      <c r="I963">
        <v>3</v>
      </c>
      <c r="J963" t="s">
        <v>23</v>
      </c>
      <c r="K963" t="s">
        <v>32</v>
      </c>
      <c r="L963">
        <v>62</v>
      </c>
      <c r="M963" t="str">
        <f t="shared" ref="M963:M1001" si="15">IF(L963&lt;31,"Adolescent",IF(L963&lt;=55,"Middle Age","Old"))</f>
        <v>Old</v>
      </c>
      <c r="N963" t="s">
        <v>18</v>
      </c>
    </row>
    <row r="964" spans="1:14" x14ac:dyDescent="0.3">
      <c r="A964">
        <v>16813</v>
      </c>
      <c r="B964" t="s">
        <v>37</v>
      </c>
      <c r="C964" t="s">
        <v>36</v>
      </c>
      <c r="D964" s="1">
        <v>60000</v>
      </c>
      <c r="E964">
        <v>2</v>
      </c>
      <c r="F964" t="s">
        <v>19</v>
      </c>
      <c r="G964" t="s">
        <v>21</v>
      </c>
      <c r="H964" t="s">
        <v>15</v>
      </c>
      <c r="I964">
        <v>2</v>
      </c>
      <c r="J964" t="s">
        <v>46</v>
      </c>
      <c r="K964" t="s">
        <v>32</v>
      </c>
      <c r="L964">
        <v>55</v>
      </c>
      <c r="M964" t="str">
        <f t="shared" si="15"/>
        <v>Middle Age</v>
      </c>
      <c r="N964" t="s">
        <v>18</v>
      </c>
    </row>
    <row r="965" spans="1:14" x14ac:dyDescent="0.3">
      <c r="A965">
        <v>16007</v>
      </c>
      <c r="B965" t="s">
        <v>37</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36</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38</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37</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37</v>
      </c>
      <c r="C969" t="s">
        <v>36</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38</v>
      </c>
      <c r="C970" t="s">
        <v>36</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37</v>
      </c>
      <c r="C971" t="s">
        <v>36</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37</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37</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37</v>
      </c>
      <c r="C975" t="s">
        <v>36</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37</v>
      </c>
      <c r="C976" t="s">
        <v>36</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37</v>
      </c>
      <c r="C977" t="s">
        <v>36</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37</v>
      </c>
      <c r="C978" t="s">
        <v>39</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38</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37</v>
      </c>
      <c r="C980" t="s">
        <v>36</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36</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39</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37</v>
      </c>
      <c r="C983" t="s">
        <v>36</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36</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37</v>
      </c>
      <c r="C985" t="s">
        <v>36</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37</v>
      </c>
      <c r="C986" t="s">
        <v>36</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36</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38</v>
      </c>
      <c r="C989" t="s">
        <v>39</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37</v>
      </c>
      <c r="C990" t="s">
        <v>36</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37</v>
      </c>
      <c r="C991" t="s">
        <v>36</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38</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38</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37</v>
      </c>
      <c r="C994" t="s">
        <v>36</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38</v>
      </c>
      <c r="C995" t="s">
        <v>36</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37</v>
      </c>
      <c r="C996" t="s">
        <v>36</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37</v>
      </c>
      <c r="C997" t="s">
        <v>36</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38</v>
      </c>
      <c r="C998" t="s">
        <v>36</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37</v>
      </c>
      <c r="C999" t="s">
        <v>36</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38</v>
      </c>
      <c r="C1000" t="s">
        <v>36</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38</v>
      </c>
      <c r="C1001" t="s">
        <v>36</v>
      </c>
      <c r="D1001" s="1">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36"/>
  <sheetViews>
    <sheetView topLeftCell="C16" workbookViewId="0">
      <selection activeCell="R20" sqref="R20"/>
    </sheetView>
  </sheetViews>
  <sheetFormatPr defaultRowHeight="14.4" x14ac:dyDescent="0.3"/>
  <cols>
    <col min="2" max="2" width="21.88671875" customWidth="1"/>
    <col min="3" max="3" width="15.5546875" customWidth="1"/>
    <col min="4" max="4" width="4" customWidth="1"/>
    <col min="5" max="5" width="10.77734375" customWidth="1"/>
  </cols>
  <sheetData>
    <row r="3" spans="2:5" x14ac:dyDescent="0.3">
      <c r="B3" s="3" t="s">
        <v>43</v>
      </c>
      <c r="C3" s="3" t="s">
        <v>44</v>
      </c>
    </row>
    <row r="4" spans="2:5" x14ac:dyDescent="0.3">
      <c r="B4" s="3" t="s">
        <v>41</v>
      </c>
      <c r="C4" t="s">
        <v>18</v>
      </c>
      <c r="D4" t="s">
        <v>15</v>
      </c>
      <c r="E4" t="s">
        <v>42</v>
      </c>
    </row>
    <row r="5" spans="2:5" x14ac:dyDescent="0.3">
      <c r="B5" s="4" t="s">
        <v>39</v>
      </c>
      <c r="C5" s="6">
        <v>53440</v>
      </c>
      <c r="D5" s="6">
        <v>55774.058577405856</v>
      </c>
      <c r="E5" s="6">
        <v>54580.777096114522</v>
      </c>
    </row>
    <row r="6" spans="2:5" x14ac:dyDescent="0.3">
      <c r="B6" s="4" t="s">
        <v>36</v>
      </c>
      <c r="C6" s="6">
        <v>56208.178438661707</v>
      </c>
      <c r="D6" s="6">
        <v>60123.966942148763</v>
      </c>
      <c r="E6" s="6">
        <v>58062.62230919765</v>
      </c>
    </row>
    <row r="7" spans="2:5" x14ac:dyDescent="0.3">
      <c r="B7" s="4" t="s">
        <v>42</v>
      </c>
      <c r="C7" s="6">
        <v>54874.759152215796</v>
      </c>
      <c r="D7" s="6">
        <v>57962.577962577961</v>
      </c>
      <c r="E7" s="6">
        <v>56360</v>
      </c>
    </row>
    <row r="18" spans="2:5" x14ac:dyDescent="0.3">
      <c r="B18" s="3" t="s">
        <v>45</v>
      </c>
      <c r="C18" s="3" t="s">
        <v>44</v>
      </c>
    </row>
    <row r="19" spans="2:5" x14ac:dyDescent="0.3">
      <c r="B19" s="3" t="s">
        <v>41</v>
      </c>
      <c r="C19" t="s">
        <v>18</v>
      </c>
      <c r="D19" t="s">
        <v>15</v>
      </c>
      <c r="E19" t="s">
        <v>42</v>
      </c>
    </row>
    <row r="20" spans="2:5" x14ac:dyDescent="0.3">
      <c r="B20" s="4" t="s">
        <v>16</v>
      </c>
      <c r="C20" s="5">
        <v>166</v>
      </c>
      <c r="D20" s="5">
        <v>200</v>
      </c>
      <c r="E20" s="5">
        <v>366</v>
      </c>
    </row>
    <row r="21" spans="2:5" x14ac:dyDescent="0.3">
      <c r="B21" s="4" t="s">
        <v>26</v>
      </c>
      <c r="C21" s="5">
        <v>92</v>
      </c>
      <c r="D21" s="5">
        <v>77</v>
      </c>
      <c r="E21" s="5">
        <v>169</v>
      </c>
    </row>
    <row r="22" spans="2:5" x14ac:dyDescent="0.3">
      <c r="B22" s="4" t="s">
        <v>22</v>
      </c>
      <c r="C22" s="5">
        <v>67</v>
      </c>
      <c r="D22" s="5">
        <v>95</v>
      </c>
      <c r="E22" s="5">
        <v>162</v>
      </c>
    </row>
    <row r="23" spans="2:5" x14ac:dyDescent="0.3">
      <c r="B23" s="4" t="s">
        <v>23</v>
      </c>
      <c r="C23" s="5">
        <v>116</v>
      </c>
      <c r="D23" s="5">
        <v>76</v>
      </c>
      <c r="E23" s="5">
        <v>192</v>
      </c>
    </row>
    <row r="24" spans="2:5" x14ac:dyDescent="0.3">
      <c r="B24" s="4" t="s">
        <v>46</v>
      </c>
      <c r="C24" s="5">
        <v>78</v>
      </c>
      <c r="D24" s="5">
        <v>33</v>
      </c>
      <c r="E24" s="5">
        <v>111</v>
      </c>
    </row>
    <row r="25" spans="2:5" x14ac:dyDescent="0.3">
      <c r="B25" s="4" t="s">
        <v>42</v>
      </c>
      <c r="C25" s="5">
        <v>519</v>
      </c>
      <c r="D25" s="5">
        <v>481</v>
      </c>
      <c r="E25" s="5">
        <v>1000</v>
      </c>
    </row>
    <row r="31" spans="2:5" x14ac:dyDescent="0.3">
      <c r="B31" s="3" t="s">
        <v>45</v>
      </c>
      <c r="C31" s="3" t="s">
        <v>44</v>
      </c>
    </row>
    <row r="32" spans="2:5" x14ac:dyDescent="0.3">
      <c r="B32" s="3" t="s">
        <v>41</v>
      </c>
      <c r="C32" t="s">
        <v>18</v>
      </c>
      <c r="D32" t="s">
        <v>15</v>
      </c>
      <c r="E32" t="s">
        <v>42</v>
      </c>
    </row>
    <row r="33" spans="2:5" x14ac:dyDescent="0.3">
      <c r="B33" s="4" t="s">
        <v>47</v>
      </c>
      <c r="C33" s="5">
        <v>71</v>
      </c>
      <c r="D33" s="5">
        <v>39</v>
      </c>
      <c r="E33" s="5">
        <v>110</v>
      </c>
    </row>
    <row r="34" spans="2:5" x14ac:dyDescent="0.3">
      <c r="B34" s="4" t="s">
        <v>48</v>
      </c>
      <c r="C34" s="5">
        <v>331</v>
      </c>
      <c r="D34" s="5">
        <v>388</v>
      </c>
      <c r="E34" s="5">
        <v>719</v>
      </c>
    </row>
    <row r="35" spans="2:5" x14ac:dyDescent="0.3">
      <c r="B35" s="4" t="s">
        <v>49</v>
      </c>
      <c r="C35" s="5">
        <v>117</v>
      </c>
      <c r="D35" s="5">
        <v>54</v>
      </c>
      <c r="E35" s="5">
        <v>171</v>
      </c>
    </row>
    <row r="36" spans="2:5" x14ac:dyDescent="0.3">
      <c r="B36" s="4" t="s">
        <v>42</v>
      </c>
      <c r="C36" s="5">
        <v>519</v>
      </c>
      <c r="D36" s="5">
        <v>481</v>
      </c>
      <c r="E36" s="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showGridLines="0" tabSelected="1" zoomScaleNormal="100" workbookViewId="0">
      <selection activeCell="U19" sqref="U19"/>
    </sheetView>
  </sheetViews>
  <sheetFormatPr defaultRowHeight="14.4" x14ac:dyDescent="0.3"/>
  <sheetData>
    <row r="1" spans="1:16" x14ac:dyDescent="0.3">
      <c r="A1" s="7" t="s">
        <v>50</v>
      </c>
      <c r="B1" s="8"/>
      <c r="C1" s="8"/>
      <c r="D1" s="8"/>
      <c r="E1" s="8"/>
      <c r="F1" s="8"/>
      <c r="G1" s="8"/>
      <c r="H1" s="8"/>
      <c r="I1" s="8"/>
      <c r="J1" s="8"/>
      <c r="K1" s="8"/>
      <c r="L1" s="8"/>
      <c r="M1" s="8"/>
      <c r="N1" s="8"/>
      <c r="O1" s="8"/>
      <c r="P1" s="8"/>
    </row>
    <row r="2" spans="1:16" x14ac:dyDescent="0.3">
      <c r="A2" s="8"/>
      <c r="B2" s="8"/>
      <c r="C2" s="8"/>
      <c r="D2" s="8"/>
      <c r="E2" s="8"/>
      <c r="F2" s="8"/>
      <c r="G2" s="8"/>
      <c r="H2" s="8"/>
      <c r="I2" s="8"/>
      <c r="J2" s="8"/>
      <c r="K2" s="8"/>
      <c r="L2" s="8"/>
      <c r="M2" s="8"/>
      <c r="N2" s="8"/>
      <c r="O2" s="8"/>
      <c r="P2" s="8"/>
    </row>
    <row r="3" spans="1:16" x14ac:dyDescent="0.3">
      <c r="A3" s="8"/>
      <c r="B3" s="8"/>
      <c r="C3" s="8"/>
      <c r="D3" s="8"/>
      <c r="E3" s="8"/>
      <c r="F3" s="8"/>
      <c r="G3" s="8"/>
      <c r="H3" s="8"/>
      <c r="I3" s="8"/>
      <c r="J3" s="8"/>
      <c r="K3" s="8"/>
      <c r="L3" s="8"/>
      <c r="M3" s="8"/>
      <c r="N3" s="8"/>
      <c r="O3" s="8"/>
      <c r="P3" s="8"/>
    </row>
    <row r="4" spans="1:16" x14ac:dyDescent="0.3">
      <c r="A4" s="8"/>
      <c r="B4" s="8"/>
      <c r="C4" s="8"/>
      <c r="D4" s="8"/>
      <c r="E4" s="8"/>
      <c r="F4" s="8"/>
      <c r="G4" s="8"/>
      <c r="H4" s="8"/>
      <c r="I4" s="8"/>
      <c r="J4" s="8"/>
      <c r="K4" s="8"/>
      <c r="L4" s="8"/>
      <c r="M4" s="8"/>
      <c r="N4" s="8"/>
      <c r="O4" s="8"/>
      <c r="P4" s="8"/>
    </row>
    <row r="5" spans="1:16" x14ac:dyDescent="0.3">
      <c r="A5" s="8"/>
      <c r="B5" s="8"/>
      <c r="C5" s="8"/>
      <c r="D5" s="8"/>
      <c r="E5" s="8"/>
      <c r="F5" s="8"/>
      <c r="G5" s="8"/>
      <c r="H5" s="8"/>
      <c r="I5" s="8"/>
      <c r="J5" s="8"/>
      <c r="K5" s="8"/>
      <c r="L5" s="8"/>
      <c r="M5" s="8"/>
      <c r="N5" s="8"/>
      <c r="O5" s="8"/>
      <c r="P5" s="8"/>
    </row>
  </sheetData>
  <mergeCells count="1">
    <mergeCell ref="A1:P5"/>
  </mergeCells>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2022-03-18T02:50:57Z</dcterms:created>
  <dcterms:modified xsi:type="dcterms:W3CDTF">2026-04-19T14:18:37Z</dcterms:modified>
</cp:coreProperties>
</file>